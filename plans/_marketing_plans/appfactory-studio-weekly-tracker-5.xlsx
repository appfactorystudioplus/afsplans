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Charts" sheetId="2" state="visible" r:id="rId4"/>
    <sheet name="Weekly Tracker" sheetId="3" state="visible" r:id="rId5"/>
    <sheet name="Social" sheetId="4" state="visible" r:id="rId6"/>
    <sheet name="Niche" sheetId="5" state="visible" r:id="rId7"/>
    <sheet name="Post Log" sheetId="6" state="visible" r:id="rId8"/>
    <sheet name="Content Ideas" sheetId="7" state="visible" r:id="rId9"/>
    <sheet name="Review" sheetId="8" state="visible" r:id="rId10"/>
    <sheet name="Offer Codes" sheetId="9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<sst xmlns="http://schemas.openxmlformats.org/spreadsheetml/2006/main" count="260" uniqueCount="146">
  <si>
    <t xml:space="preserve">Appfactory Studio: Weekly Marketing Tracker</t>
  </si>
  <si>
    <t xml:space="preserve">Fill this in every Sunday. Tabs: Charts, Weekly Tracker, Social, Post Log, Content Ideas, Niche, Review, Offer Codes.</t>
  </si>
  <si>
    <t xml:space="preserve">How to use</t>
  </si>
  <si>
    <t xml:space="preserve">Blue text</t>
  </si>
  <si>
    <t xml:space="preserve">Cells you type into (dates, counts, platform, niche).</t>
  </si>
  <si>
    <t xml:space="preserve">Black text</t>
  </si>
  <si>
    <t xml:space="preserve">Formulas. Do not overwrite them.</t>
  </si>
  <si>
    <t xml:space="preserve">Grey italic row</t>
  </si>
  <si>
    <t xml:space="preserve">Example row (row 4 on each input tab) showing the expected format. Overwrite or delete it; it is not counted in the summaries.</t>
  </si>
  <si>
    <t xml:space="preserve">Dates</t>
  </si>
  <si>
    <t xml:space="preserve">Use the Monday of each week (e.g. 10/19/2026).</t>
  </si>
  <si>
    <t xml:space="preserve">Platform / Niche</t>
  </si>
  <si>
    <t xml:space="preserve">Pick from the drop-down list so the summary tables count correctly.</t>
  </si>
  <si>
    <t xml:space="preserve">Where numbers come from</t>
  </si>
  <si>
    <t xml:space="preserve">Signups, upgrades and visitors: your Appfactory Studio account data or site analytics. Reach, engagement, clicks and followers: each platform's own insights page. All figures are entered by you.</t>
  </si>
  <si>
    <t xml:space="preserve">Link tagging (optional)</t>
  </si>
  <si>
    <t xml:space="preserve">Why</t>
  </si>
  <si>
    <t xml:space="preserve">Add a different tag per platform so your analytics can show which one drives signups. This only works if your analytics reads UTM tags, so test it first.</t>
  </si>
  <si>
    <t xml:space="preserve">Example links</t>
  </si>
  <si>
    <t xml:space="preserve">Facebook</t>
  </si>
  <si>
    <t xml:space="preserve">https://www.appfactory.studio/?utm_source=facebook</t>
  </si>
  <si>
    <t xml:space="preserve">Instagram</t>
  </si>
  <si>
    <t xml:space="preserve">https://www.appfactory.studio/?utm_source=instagram</t>
  </si>
  <si>
    <t xml:space="preserve">X</t>
  </si>
  <si>
    <t xml:space="preserve">https://www.appfactory.studio/?utm_source=x</t>
  </si>
  <si>
    <t xml:space="preserve">LinkedIn</t>
  </si>
  <si>
    <t xml:space="preserve">https://www.appfactory.studio/?utm_source=linkedin</t>
  </si>
  <si>
    <t xml:space="preserve">YouTube</t>
  </si>
  <si>
    <t xml:space="preserve">https://www.appfactory.studio/?utm_source=youtube</t>
  </si>
  <si>
    <t xml:space="preserve">Reading the numbers</t>
  </si>
  <si>
    <t xml:space="preserve">Sample size</t>
  </si>
  <si>
    <t xml:space="preserve">Judge a niche only after 2 to 3 posts; the Niche tab flags this. One post is too small a sample.</t>
  </si>
  <si>
    <t xml:space="preserve">Timing</t>
  </si>
  <si>
    <t xml:space="preserve">A week's results often reflect earlier posts, so note the posting date next to each result.</t>
  </si>
  <si>
    <t xml:space="preserve">Charts</t>
  </si>
  <si>
    <t xml:space="preserve">These update automatically as you fill in the other tabs. They stay empty until you enter real weeks (the grey example row is not charted).</t>
  </si>
  <si>
    <t xml:space="preserve">Weekly Tracker</t>
  </si>
  <si>
    <t xml:space="preserve">One row per week. Row 4 is an example; enter real weeks from row 5.</t>
  </si>
  <si>
    <t xml:space="preserve">Week of (Monday)</t>
  </si>
  <si>
    <t xml:space="preserve">New signups</t>
  </si>
  <si>
    <t xml:space="preserve">Free to Pro upgrades</t>
  </si>
  <si>
    <t xml:space="preserve">Signups who published a site</t>
  </si>
  <si>
    <t xml:space="preserve">Website visitors</t>
  </si>
  <si>
    <t xml:space="preserve">Top traffic source</t>
  </si>
  <si>
    <t xml:space="preserve">Publish rate</t>
  </si>
  <si>
    <t xml:space="preserve">Upgrade rate</t>
  </si>
  <si>
    <t xml:space="preserve">Signup change vs last week</t>
  </si>
  <si>
    <t xml:space="preserve">Visitor to signup rate</t>
  </si>
  <si>
    <t xml:space="preserve">Total / overall</t>
  </si>
  <si>
    <t xml:space="preserve">Social Performance</t>
  </si>
  <si>
    <t xml:space="preserve">One row per platform per week. Row 4 is an example; enter real data from row 5.</t>
  </si>
  <si>
    <t xml:space="preserve">Totals by platform (all weeks)</t>
  </si>
  <si>
    <t xml:space="preserve">Platform</t>
  </si>
  <si>
    <t xml:space="preserve">Posts</t>
  </si>
  <si>
    <t xml:space="preserve">Reach / impressions</t>
  </si>
  <si>
    <t xml:space="preserve">Engagements</t>
  </si>
  <si>
    <t xml:space="preserve">Link clicks</t>
  </si>
  <si>
    <t xml:space="preserve">Followers gained</t>
  </si>
  <si>
    <t xml:space="preserve">Engagement rate</t>
  </si>
  <si>
    <t xml:space="preserve">Click rate</t>
  </si>
  <si>
    <t xml:space="preserve">Total</t>
  </si>
  <si>
    <t xml:space="preserve">Niche Performance</t>
  </si>
  <si>
    <t xml:space="preserve">One row per niche per week. Row 4 is an example; enter real data from row 5.</t>
  </si>
  <si>
    <t xml:space="preserve">Totals by niche (all weeks)</t>
  </si>
  <si>
    <t xml:space="preserve">Niche</t>
  </si>
  <si>
    <t xml:space="preserve">Engagement</t>
  </si>
  <si>
    <t xml:space="preserve">Signups</t>
  </si>
  <si>
    <t xml:space="preserve">Signups per post</t>
  </si>
  <si>
    <t xml:space="preserve">Enough data?</t>
  </si>
  <si>
    <t xml:space="preserve">Photographers</t>
  </si>
  <si>
    <t xml:space="preserve">Coaches/tutors</t>
  </si>
  <si>
    <t xml:space="preserve">Salons/studios</t>
  </si>
  <si>
    <t xml:space="preserve">Event hosts</t>
  </si>
  <si>
    <t xml:space="preserve">Agencies</t>
  </si>
  <si>
    <t xml:space="preserve">Tip: the threshold of 3 posts is a rule of thumb, not a statistical test.</t>
  </si>
  <si>
    <t xml:space="preserve">Post Log</t>
  </si>
  <si>
    <t xml:space="preserve">Top 5 posts by engagement rate</t>
  </si>
  <si>
    <t xml:space="preserve">One row per post. Row 4 is an example; enter real posts from row 5.</t>
  </si>
  <si>
    <t xml:space="preserve">Min reach to rank a post:</t>
  </si>
  <si>
    <t xml:space="preserve">(avoids tiny posts topping the list; change as you like)</t>
  </si>
  <si>
    <t xml:space="preserve">Date posted</t>
  </si>
  <si>
    <t xml:space="preserve">Format</t>
  </si>
  <si>
    <t xml:space="preserve">Topic / hook</t>
  </si>
  <si>
    <t xml:space="preserve">Post link</t>
  </si>
  <si>
    <t xml:space="preserve">Reach</t>
  </si>
  <si>
    <t xml:space="preserve">Signups (optional)</t>
  </si>
  <si>
    <t xml:space="preserve">Rank score (helper)</t>
  </si>
  <si>
    <t xml:space="preserve">#</t>
  </si>
  <si>
    <t xml:space="preserve">Posted</t>
  </si>
  <si>
    <t xml:space="preserve">Reel / short video</t>
  </si>
  <si>
    <t xml:space="preserve">Booking page in 3 minutes</t>
  </si>
  <si>
    <t xml:space="preserve">https://instagram.com/p/example</t>
  </si>
  <si>
    <t xml:space="preserve">Results by format</t>
  </si>
  <si>
    <t xml:space="preserve">Carousel</t>
  </si>
  <si>
    <t xml:space="preserve">Single image</t>
  </si>
  <si>
    <t xml:space="preserve">Text post</t>
  </si>
  <si>
    <t xml:space="preserve">Thread</t>
  </si>
  <si>
    <t xml:space="preserve">Poll</t>
  </si>
  <si>
    <t xml:space="preserve">Long video</t>
  </si>
  <si>
    <t xml:space="preserve">Compare formats only after 3+ posts each; engagement rate on small samples is noisy.</t>
  </si>
  <si>
    <t xml:space="preserve">Content Ideas</t>
  </si>
  <si>
    <t xml:space="preserve">Capture ideas, then move each one through Idea &gt; Drafted &gt; Scheduled &gt; Posted. Row 4 is an example; the starter ideas below it are suggestions you can edit or delete.</t>
  </si>
  <si>
    <t xml:space="preserve">Pipeline</t>
  </si>
  <si>
    <t xml:space="preserve">Idea / hook</t>
  </si>
  <si>
    <t xml:space="preserve">Status</t>
  </si>
  <si>
    <t xml:space="preserve">Planned date</t>
  </si>
  <si>
    <t xml:space="preserve">Notes</t>
  </si>
  <si>
    <t xml:space="preserve">Ideas</t>
  </si>
  <si>
    <t xml:space="preserve">Behind the scenes: building a booking page live</t>
  </si>
  <si>
    <t xml:space="preserve">Drafted</t>
  </si>
  <si>
    <t xml:space="preserve">Example row</t>
  </si>
  <si>
    <t xml:space="preserve">Idea</t>
  </si>
  <si>
    <t xml:space="preserve">6 jobs you can plan, publish or manage in one workspace</t>
  </si>
  <si>
    <t xml:space="preserve">General</t>
  </si>
  <si>
    <t xml:space="preserve">Starter idea</t>
  </si>
  <si>
    <t xml:space="preserve">Why I built Appfactory Studio (founder story)</t>
  </si>
  <si>
    <t xml:space="preserve">Scheduled</t>
  </si>
  <si>
    <t xml:space="preserve">Guests join video meetings by code, no account needed</t>
  </si>
  <si>
    <t xml:space="preserve">Skipped</t>
  </si>
  <si>
    <t xml:space="preserve">Take deposits online with Stripe, PayPal or Square</t>
  </si>
  <si>
    <t xml:space="preserve">What you get on the free plan</t>
  </si>
  <si>
    <t xml:space="preserve">Overdue (planned date passed, not Posted or Skipped)</t>
  </si>
  <si>
    <t xml:space="preserve">Send intake forms before the visit</t>
  </si>
  <si>
    <t xml:space="preserve">Launch a client site in an afternoon</t>
  </si>
  <si>
    <t xml:space="preserve">Tip: when a post goes live, log its results on the Post Log tab.</t>
  </si>
  <si>
    <t xml:space="preserve">Switch payment providers without disruption (demo with a test payment)</t>
  </si>
  <si>
    <t xml:space="preserve">Stripe, PayPal or Square: pick your processor, switch anytime</t>
  </si>
  <si>
    <t xml:space="preserve">Why processor lock-in costs small businesses, and how to avoid it</t>
  </si>
  <si>
    <t xml:space="preserve">Every client has a favorite payment processor</t>
  </si>
  <si>
    <t xml:space="preserve">Weekly Review</t>
  </si>
  <si>
    <t xml:space="preserve">Answer in a sentence or two each Sunday. Type in the blue cells.</t>
  </si>
  <si>
    <t xml:space="preserve">Question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</si>
  <si>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</si>
  <si>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</si>
  <si>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</si>
  <si>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</si>
  <si>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</si>
  <si>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</si>
  <si>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</si>
  <si>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</si>
  <si>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What was my best-performing post, and why?</t>
  </si>
  <si>
    <t xml:space="preserve">Which niche brought the most signups?</t>
  </si>
  <si>
    <t xml:space="preserve">Where do new signups drop off (account creation, first site, publishing)?</t>
  </si>
  <si>
    <t xml:space="preserve">What did people ask or request in comments and DMs?</t>
  </si>
  <si>
    <t xml:space="preserve">What will I do more of next week?</t>
  </si>
  <si>
    <t xml:space="preserve">What will I stop doing next week?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</si>
</sst>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mmm\ d&quot;, &quot;yyyy"/>
    <numFmt numFmtId="167" formatCode="#,##0;\-#,##0;\-"/>
    <numFmt numFmtId="168" formatCode="0.0%;\-0.0%;\-"/>
    <numFmt numFmtId="169" formatCode="\+#,##0;\-#,##0;\-"/>
    <numFmt numFmtId="170" formatCode="0.0;\-0.0;\-"/>
    <numFmt numFmtId="171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9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7E6E6"/>
      </patternFill>
    </fill>
    <fill>
      <patternFill patternType="solid">
        <fgColor rgb="FFD9E2F3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FFF2CC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E7E6E6"/>
      <rgbColor rgb="FF99CCFF"/>
      <rgbColor rgb="FFFF99CC"/>
      <rgbColor rgb="FFCC99FF"/>
      <rgbColor rgb="FFD9D9D9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Relationship Id="rId12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New signups per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'Weekly Tracker'!B3</c:f>
              <c:strCache>
                <c:ptCount val="1"/>
                <c:pt idx="0">
                  <c:v>New signups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Tracker'!$A$5:$A$24</c:f>
              <c:strCache>
                <c:ptCount val="2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'Weekly Tracker'!$B$4:$B$24</c:f>
              <c:numCache>
                <c:formatCode>#,##0;\-#,##0;\-</c:formatCode>
                <c:ptCount val="21"/>
                <c:pt idx="0">
                  <c:v>12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082534"/>
        <c:axId val="47921553"/>
      </c:lineChart>
      <c:catAx>
        <c:axId val="190825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 of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21553"/>
        <c:crosses val="autoZero"/>
        <c:auto val="1"/>
        <c:lblAlgn val="ctr"/>
        <c:lblOffset val="100"/>
        <c:noMultiLvlLbl val="0"/>
      </c:catAx>
      <c:valAx>
        <c:axId val="479215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Signups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825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Website visitors per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'Weekly Tracker'!E3</c:f>
              <c:strCache>
                <c:ptCount val="1"/>
                <c:pt idx="0">
                  <c:v>Website visitors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Tracker'!$A$5:$A$24</c:f>
              <c:strCache>
                <c:ptCount val="2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</c:strCache>
            </c:strRef>
          </c:cat>
          <c:val>
            <c:numRef>
              <c:f>'Weekly Tracker'!$E$4:$E$24</c:f>
              <c:numCache>
                <c:formatCode>#,##0;\-#,##0;\-</c:formatCode>
                <c:ptCount val="21"/>
                <c:pt idx="0">
                  <c:v>480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037726"/>
        <c:axId val="31104288"/>
      </c:lineChart>
      <c:catAx>
        <c:axId val="800377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 of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104288"/>
        <c:crosses val="autoZero"/>
        <c:auto val="1"/>
        <c:lblAlgn val="ctr"/>
        <c:lblOffset val="100"/>
        <c:noMultiLvlLbl val="0"/>
      </c:catAx>
      <c:valAx>
        <c:axId val="31104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Visitors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377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Engagement rate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Social!Q3</c:f>
              <c:strCache>
                <c:ptCount val="1"/>
                <c:pt idx="0">
                  <c:v>Engagement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Social!$K$4:$K$8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X</c:v>
                </c:pt>
                <c:pt idx="3">
                  <c:v>LinkedIn</c:v>
                </c:pt>
                <c:pt idx="4">
                  <c:v>YouTube</c:v>
                </c:pt>
              </c:strCache>
            </c:strRef>
          </c:cat>
          <c:val>
            <c:numRef>
              <c:f>Social!$Q$4:$Q$8</c:f>
              <c:numCache>
                <c:formatCode>General</c:formatCode>
                <c:ptCount val="5"/>
              </c:numCache>
            </c:numRef>
          </c:val>
        </c:ser>
        <c:gapWidth val="150"/>
        <c:overlap val="0"/>
        <c:axId val="16646040"/>
        <c:axId val="53867760"/>
      </c:barChart>
      <c:catAx>
        <c:axId val="16646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67760"/>
        <c:crosses val="autoZero"/>
        <c:auto val="1"/>
        <c:lblAlgn val="ctr"/>
        <c:lblOffset val="100"/>
        <c:noMultiLvlLbl val="0"/>
      </c:catAx>
      <c:valAx>
        <c:axId val="538677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Engagement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460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Signups by niche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Niche!K3</c:f>
              <c:strCache>
                <c:ptCount val="1"/>
                <c:pt idx="0">
                  <c:v>Signups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Niche!$H$4:$H$8</c:f>
              <c:strCache>
                <c:ptCount val="5"/>
                <c:pt idx="0">
                  <c:v>Coaches/tutors</c:v>
                </c:pt>
                <c:pt idx="1">
                  <c:v>Salons/studios</c:v>
                </c:pt>
                <c:pt idx="2">
                  <c:v>Event hosts</c:v>
                </c:pt>
                <c:pt idx="3">
                  <c:v>Photographers</c:v>
                </c:pt>
                <c:pt idx="4">
                  <c:v>Agencies</c:v>
                </c:pt>
              </c:strCache>
            </c:strRef>
          </c:cat>
          <c:val>
            <c:numRef>
              <c:f>Niche!$K$4:$K$8</c:f>
              <c:numCache>
                <c:formatCode>#,##0;\-#,##0;\-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53501934"/>
        <c:axId val="68093987"/>
      </c:barChart>
      <c:catAx>
        <c:axId val="535019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093987"/>
        <c:crosses val="autoZero"/>
        <c:auto val="1"/>
        <c:lblAlgn val="ctr"/>
        <c:lblOffset val="100"/>
        <c:noMultiLvlLbl val="0"/>
      </c:catAx>
      <c:valAx>
        <c:axId val="680939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Signups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019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9</xdr:col>
      <xdr:colOff>21600</xdr:colOff>
      <xdr:row>17</xdr:row>
      <xdr:rowOff>182880</xdr:rowOff>
    </xdr:to>
    <xdr:graphicFrame>
      <xdr:nvGraphicFramePr>
        <xdr:cNvPr id="0" name="Chart 1"/>
        <xdr:cNvGraphicFramePr/>
      </xdr:nvGraphicFramePr>
      <xdr:xfrm>
        <a:off x="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160920</xdr:rowOff>
    </xdr:from>
    <xdr:to>
      <xdr:col>19</xdr:col>
      <xdr:colOff>255960</xdr:colOff>
      <xdr:row>17</xdr:row>
      <xdr:rowOff>182880</xdr:rowOff>
    </xdr:to>
    <xdr:graphicFrame>
      <xdr:nvGraphicFramePr>
        <xdr:cNvPr id="1" name="Chart 2"/>
        <xdr:cNvGraphicFramePr/>
      </xdr:nvGraphicFramePr>
      <xdr:xfrm>
        <a:off x="634932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160560</xdr:rowOff>
    </xdr:from>
    <xdr:to>
      <xdr:col>9</xdr:col>
      <xdr:colOff>21600</xdr:colOff>
      <xdr:row>34</xdr:row>
      <xdr:rowOff>182520</xdr:rowOff>
    </xdr:to>
    <xdr:graphicFrame>
      <xdr:nvGraphicFramePr>
        <xdr:cNvPr id="2" name="Chart 3"/>
        <xdr:cNvGraphicFramePr/>
      </xdr:nvGraphicFramePr>
      <xdr:xfrm>
        <a:off x="0" y="3809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19</xdr:row>
      <xdr:rowOff>160560</xdr:rowOff>
    </xdr:from>
    <xdr:to>
      <xdr:col>19</xdr:col>
      <xdr:colOff>255960</xdr:colOff>
      <xdr:row>34</xdr:row>
      <xdr:rowOff>182520</xdr:rowOff>
    </xdr:to>
    <xdr:graphicFrame>
      <xdr:nvGraphicFramePr>
        <xdr:cNvPr id="3" name="Chart 4"/>
        <xdr:cNvGraphicFramePr/>
      </xdr:nvGraphicFramePr>
      <xdr:xfrm>
        <a:off x="6349320" y="3809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4" t="s">
        <v>5</v>
      </c>
      <c r="B6" s="4" t="s">
        <v>6</v>
      </c>
    </row>
    <row r="7" customFormat="false" ht="23.85" hidden="false" customHeight="false" outlineLevel="0" collapsed="false">
      <c r="A7" s="6" t="s">
        <v>7</v>
      </c>
      <c r="B7" s="4" t="s">
        <v>8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9" customFormat="false" ht="15" hidden="false" customHeight="false" outlineLevel="0" collapsed="false">
      <c r="A9" s="3" t="s">
        <v>11</v>
      </c>
      <c r="B9" s="4" t="s">
        <v>12</v>
      </c>
    </row>
    <row r="10" customFormat="false" ht="23.85" hidden="false" customHeight="false" outlineLevel="0" collapsed="false">
      <c r="A10" s="3" t="s">
        <v>13</v>
      </c>
      <c r="B10" s="4" t="s">
        <v>14</v>
      </c>
    </row>
    <row r="11" customFormat="false" ht="15" hidden="false" customHeight="false" outlineLevel="0" collapsed="false">
      <c r="A11" s="4"/>
      <c r="B11" s="4"/>
    </row>
    <row r="12" customFormat="false" ht="15" hidden="false" customHeight="false" outlineLevel="0" collapsed="false">
      <c r="A12" s="3" t="s">
        <v>15</v>
      </c>
      <c r="B12" s="4"/>
    </row>
    <row r="13" customFormat="false" ht="23.85" hidden="false" customHeight="false" outlineLevel="0" collapsed="false">
      <c r="A13" s="3" t="s">
        <v>16</v>
      </c>
      <c r="B13" s="4" t="s">
        <v>17</v>
      </c>
    </row>
    <row r="14" customFormat="false" ht="15" hidden="false" customHeight="false" outlineLevel="0" collapsed="false">
      <c r="A14" s="3" t="s">
        <v>18</v>
      </c>
      <c r="B14" s="4"/>
    </row>
    <row r="15" customFormat="false" ht="15" hidden="false" customHeight="false" outlineLevel="0" collapsed="false">
      <c r="A15" s="3" t="s">
        <v>19</v>
      </c>
      <c r="B15" s="4" t="s">
        <v>20</v>
      </c>
    </row>
    <row r="16" customFormat="false" ht="15" hidden="false" customHeight="false" outlineLevel="0" collapsed="false">
      <c r="A16" s="3" t="s">
        <v>21</v>
      </c>
      <c r="B16" s="4" t="s">
        <v>22</v>
      </c>
    </row>
    <row r="17" customFormat="false" ht="15" hidden="false" customHeight="false" outlineLevel="0" collapsed="false">
      <c r="A17" s="3" t="s">
        <v>23</v>
      </c>
      <c r="B17" s="4" t="s">
        <v>24</v>
      </c>
    </row>
    <row r="18" customFormat="false" ht="15" hidden="false" customHeight="false" outlineLevel="0" collapsed="false">
      <c r="A18" s="3" t="s">
        <v>25</v>
      </c>
      <c r="B18" s="4" t="s">
        <v>26</v>
      </c>
    </row>
    <row r="19" customFormat="false" ht="15" hidden="false" customHeight="false" outlineLevel="0" collapsed="false">
      <c r="A19" s="3" t="s">
        <v>27</v>
      </c>
      <c r="B19" s="4" t="s">
        <v>28</v>
      </c>
    </row>
    <row r="20" customFormat="false" ht="15" hidden="false" customHeight="false" outlineLevel="0" collapsed="false">
      <c r="A20" s="4"/>
      <c r="B20" s="4"/>
    </row>
    <row r="21" customFormat="false" ht="15" hidden="false" customHeight="false" outlineLevel="0" collapsed="false">
      <c r="A21" s="3" t="s">
        <v>29</v>
      </c>
      <c r="B21" s="4"/>
    </row>
    <row r="22" customFormat="false" ht="15" hidden="false" customHeight="false" outlineLevel="0" collapsed="false">
      <c r="A22" s="3" t="s">
        <v>30</v>
      </c>
      <c r="B22" s="4" t="s">
        <v>31</v>
      </c>
    </row>
    <row r="23" customFormat="false" ht="15" hidden="false" customHeight="false" outlineLevel="0" collapsed="false">
      <c r="A23" s="3" t="s">
        <v>32</v>
      </c>
      <c r="B23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7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7" t="s">
        <v>37</v>
      </c>
    </row>
    <row r="3" customFormat="false" ht="31.5" hidden="false" customHeight="true" outlineLevel="0" collapsed="false">
      <c r="A3" s="8" t="s">
        <v>38</v>
      </c>
      <c r="B3" s="8" t="s">
        <v>39</v>
      </c>
      <c r="C3" s="8" t="s">
        <v>40</v>
      </c>
      <c r="D3" s="8" t="s">
        <v>41</v>
      </c>
      <c r="E3" s="8" t="s">
        <v>42</v>
      </c>
      <c r="F3" s="8" t="s">
        <v>43</v>
      </c>
      <c r="G3" s="8" t="s">
        <v>44</v>
      </c>
      <c r="H3" s="8" t="s">
        <v>45</v>
      </c>
      <c r="I3" s="8" t="s">
        <v>46</v>
      </c>
      <c r="J3" s="8" t="s">
        <v>47</v>
      </c>
    </row>
    <row r="4" customFormat="false" ht="15" hidden="false" customHeight="false" outlineLevel="0" collapsed="false">
      <c r="A4" s="9" t="n">
        <v>46314</v>
      </c>
      <c r="B4" s="10" t="n">
        <v>12</v>
      </c>
      <c r="C4" s="10" t="n">
        <v>1</v>
      </c>
      <c r="D4" s="10" t="n">
        <v>7</v>
      </c>
      <c r="E4" s="10" t="n">
        <v>480</v>
      </c>
      <c r="F4" s="11" t="s">
        <v>21</v>
      </c>
      <c r="G4" s="12" t="n">
        <f aca="false">IF(B4&gt;0,D4/B4,"")</f>
        <v>0.583333333333333</v>
      </c>
      <c r="H4" s="12" t="n">
        <f aca="false">IF(B4&gt;0,C4/B4,"")</f>
        <v>0.0833333333333333</v>
      </c>
      <c r="I4" s="13" t="str">
        <f aca="false">""</f>
        <v/>
      </c>
      <c r="J4" s="12" t="n">
        <f aca="false">IF(E4&gt;0,B4/E4,"")</f>
        <v>0.025</v>
      </c>
    </row>
    <row r="5" customFormat="false" ht="15" hidden="false" customHeight="false" outlineLevel="0" collapsed="false">
      <c r="A5" s="14"/>
      <c r="B5" s="15"/>
      <c r="C5" s="15"/>
      <c r="D5" s="15"/>
      <c r="E5" s="15"/>
      <c r="F5" s="16"/>
      <c r="G5" s="17" t="str">
        <f aca="false">IF(B5&gt;0,D5/B5,"")</f>
        <v/>
      </c>
      <c r="H5" s="17" t="str">
        <f aca="false">IF(B5&gt;0,C5/B5,"")</f>
        <v/>
      </c>
      <c r="I5" s="18" t="str">
        <f aca="false">""</f>
        <v/>
      </c>
      <c r="J5" s="17" t="str">
        <f aca="false">IF(E5&gt;0,B5/E5,"")</f>
        <v/>
      </c>
    </row>
    <row r="6" customFormat="false" ht="15" hidden="false" customHeight="false" outlineLevel="0" collapsed="false">
      <c r="A6" s="14"/>
      <c r="B6" s="15"/>
      <c r="C6" s="15"/>
      <c r="D6" s="15"/>
      <c r="E6" s="15"/>
      <c r="F6" s="16"/>
      <c r="G6" s="17" t="str">
        <f aca="false">IF(B6&gt;0,D6/B6,"")</f>
        <v/>
      </c>
      <c r="H6" s="17" t="str">
        <f aca="false">IF(B6&gt;0,C6/B6,"")</f>
        <v/>
      </c>
      <c r="I6" s="18" t="str">
        <f aca="false">IF(OR(B6="",B5=""),"",B6-B5)</f>
        <v/>
      </c>
      <c r="J6" s="17" t="str">
        <f aca="false">IF(E6&gt;0,B6/E6,"")</f>
        <v/>
      </c>
    </row>
    <row r="7" customFormat="false" ht="15" hidden="false" customHeight="false" outlineLevel="0" collapsed="false">
      <c r="A7" s="14"/>
      <c r="B7" s="15"/>
      <c r="C7" s="15"/>
      <c r="D7" s="15"/>
      <c r="E7" s="15"/>
      <c r="F7" s="16"/>
      <c r="G7" s="17" t="str">
        <f aca="false">IF(B7&gt;0,D7/B7,"")</f>
        <v/>
      </c>
      <c r="H7" s="17" t="str">
        <f aca="false">IF(B7&gt;0,C7/B7,"")</f>
        <v/>
      </c>
      <c r="I7" s="18" t="str">
        <f aca="false">IF(OR(B7="",B6=""),"",B7-B6)</f>
        <v/>
      </c>
      <c r="J7" s="17" t="str">
        <f aca="false">IF(E7&gt;0,B7/E7,"")</f>
        <v/>
      </c>
    </row>
    <row r="8" customFormat="false" ht="15" hidden="false" customHeight="false" outlineLevel="0" collapsed="false">
      <c r="A8" s="14"/>
      <c r="B8" s="15"/>
      <c r="C8" s="15"/>
      <c r="D8" s="15"/>
      <c r="E8" s="15"/>
      <c r="F8" s="16"/>
      <c r="G8" s="17" t="str">
        <f aca="false">IF(B8&gt;0,D8/B8,"")</f>
        <v/>
      </c>
      <c r="H8" s="17" t="str">
        <f aca="false">IF(B8&gt;0,C8/B8,"")</f>
        <v/>
      </c>
      <c r="I8" s="18" t="str">
        <f aca="false">IF(OR(B8="",B7=""),"",B8-B7)</f>
        <v/>
      </c>
      <c r="J8" s="17" t="str">
        <f aca="false">IF(E8&gt;0,B8/E8,"")</f>
        <v/>
      </c>
    </row>
    <row r="9" customFormat="false" ht="15" hidden="false" customHeight="false" outlineLevel="0" collapsed="false">
      <c r="A9" s="14"/>
      <c r="B9" s="15"/>
      <c r="C9" s="15"/>
      <c r="D9" s="15"/>
      <c r="E9" s="15"/>
      <c r="F9" s="16"/>
      <c r="G9" s="17" t="str">
        <f aca="false">IF(B9&gt;0,D9/B9,"")</f>
        <v/>
      </c>
      <c r="H9" s="17" t="str">
        <f aca="false">IF(B9&gt;0,C9/B9,"")</f>
        <v/>
      </c>
      <c r="I9" s="18" t="str">
        <f aca="false">IF(OR(B9="",B8=""),"",B9-B8)</f>
        <v/>
      </c>
      <c r="J9" s="17" t="str">
        <f aca="false">IF(E9&gt;0,B9/E9,"")</f>
        <v/>
      </c>
    </row>
    <row r="10" customFormat="false" ht="15" hidden="false" customHeight="false" outlineLevel="0" collapsed="false">
      <c r="A10" s="14"/>
      <c r="B10" s="15"/>
      <c r="C10" s="15"/>
      <c r="D10" s="15"/>
      <c r="E10" s="15"/>
      <c r="F10" s="16"/>
      <c r="G10" s="17" t="str">
        <f aca="false">IF(B10&gt;0,D10/B10,"")</f>
        <v/>
      </c>
      <c r="H10" s="17" t="str">
        <f aca="false">IF(B10&gt;0,C10/B10,"")</f>
        <v/>
      </c>
      <c r="I10" s="18" t="str">
        <f aca="false">IF(OR(B10="",B9=""),"",B10-B9)</f>
        <v/>
      </c>
      <c r="J10" s="17" t="str">
        <f aca="false">IF(E10&gt;0,B10/E10,"")</f>
        <v/>
      </c>
    </row>
    <row r="11" customFormat="false" ht="15" hidden="false" customHeight="false" outlineLevel="0" collapsed="false">
      <c r="A11" s="14"/>
      <c r="B11" s="15"/>
      <c r="C11" s="15"/>
      <c r="D11" s="15"/>
      <c r="E11" s="15"/>
      <c r="F11" s="16"/>
      <c r="G11" s="17" t="str">
        <f aca="false">IF(B11&gt;0,D11/B11,"")</f>
        <v/>
      </c>
      <c r="H11" s="17" t="str">
        <f aca="false">IF(B11&gt;0,C11/B11,"")</f>
        <v/>
      </c>
      <c r="I11" s="18" t="str">
        <f aca="false">IF(OR(B11="",B10=""),"",B11-B10)</f>
        <v/>
      </c>
      <c r="J11" s="17" t="str">
        <f aca="false">IF(E11&gt;0,B11/E11,"")</f>
        <v/>
      </c>
    </row>
    <row r="12" customFormat="false" ht="15" hidden="false" customHeight="false" outlineLevel="0" collapsed="false">
      <c r="A12" s="14"/>
      <c r="B12" s="15"/>
      <c r="C12" s="15"/>
      <c r="D12" s="15"/>
      <c r="E12" s="15"/>
      <c r="F12" s="16"/>
      <c r="G12" s="17" t="str">
        <f aca="false">IF(B12&gt;0,D12/B12,"")</f>
        <v/>
      </c>
      <c r="H12" s="17" t="str">
        <f aca="false">IF(B12&gt;0,C12/B12,"")</f>
        <v/>
      </c>
      <c r="I12" s="18" t="str">
        <f aca="false">IF(OR(B12="",B11=""),"",B12-B11)</f>
        <v/>
      </c>
      <c r="J12" s="17" t="str">
        <f aca="false">IF(E12&gt;0,B12/E12,"")</f>
        <v/>
      </c>
    </row>
    <row r="13" customFormat="false" ht="15" hidden="false" customHeight="false" outlineLevel="0" collapsed="false">
      <c r="A13" s="14"/>
      <c r="B13" s="15"/>
      <c r="C13" s="15"/>
      <c r="D13" s="15"/>
      <c r="E13" s="15"/>
      <c r="F13" s="16"/>
      <c r="G13" s="17" t="str">
        <f aca="false">IF(B13&gt;0,D13/B13,"")</f>
        <v/>
      </c>
      <c r="H13" s="17" t="str">
        <f aca="false">IF(B13&gt;0,C13/B13,"")</f>
        <v/>
      </c>
      <c r="I13" s="18" t="str">
        <f aca="false">IF(OR(B13="",B12=""),"",B13-B12)</f>
        <v/>
      </c>
      <c r="J13" s="17" t="str">
        <f aca="false">IF(E13&gt;0,B13/E13,"")</f>
        <v/>
      </c>
    </row>
    <row r="14" customFormat="false" ht="15" hidden="false" customHeight="false" outlineLevel="0" collapsed="false">
      <c r="A14" s="14"/>
      <c r="B14" s="15"/>
      <c r="C14" s="15"/>
      <c r="D14" s="15"/>
      <c r="E14" s="15"/>
      <c r="F14" s="16"/>
      <c r="G14" s="17" t="str">
        <f aca="false">IF(B14&gt;0,D14/B14,"")</f>
        <v/>
      </c>
      <c r="H14" s="17" t="str">
        <f aca="false">IF(B14&gt;0,C14/B14,"")</f>
        <v/>
      </c>
      <c r="I14" s="18" t="str">
        <f aca="false">IF(OR(B14="",B13=""),"",B14-B13)</f>
        <v/>
      </c>
      <c r="J14" s="17" t="str">
        <f aca="false">IF(E14&gt;0,B14/E14,"")</f>
        <v/>
      </c>
    </row>
    <row r="15" customFormat="false" ht="15" hidden="false" customHeight="false" outlineLevel="0" collapsed="false">
      <c r="A15" s="14"/>
      <c r="B15" s="15"/>
      <c r="C15" s="15"/>
      <c r="D15" s="15"/>
      <c r="E15" s="15"/>
      <c r="F15" s="16"/>
      <c r="G15" s="17" t="str">
        <f aca="false">IF(B15&gt;0,D15/B15,"")</f>
        <v/>
      </c>
      <c r="H15" s="17" t="str">
        <f aca="false">IF(B15&gt;0,C15/B15,"")</f>
        <v/>
      </c>
      <c r="I15" s="18" t="str">
        <f aca="false">IF(OR(B15="",B14=""),"",B15-B14)</f>
        <v/>
      </c>
      <c r="J15" s="17" t="str">
        <f aca="false">IF(E15&gt;0,B15/E15,"")</f>
        <v/>
      </c>
    </row>
    <row r="16" customFormat="false" ht="15" hidden="false" customHeight="false" outlineLevel="0" collapsed="false">
      <c r="A16" s="14"/>
      <c r="B16" s="15"/>
      <c r="C16" s="15"/>
      <c r="D16" s="15"/>
      <c r="E16" s="15"/>
      <c r="F16" s="16"/>
      <c r="G16" s="17" t="str">
        <f aca="false">IF(B16&gt;0,D16/B16,"")</f>
        <v/>
      </c>
      <c r="H16" s="17" t="str">
        <f aca="false">IF(B16&gt;0,C16/B16,"")</f>
        <v/>
      </c>
      <c r="I16" s="18" t="str">
        <f aca="false">IF(OR(B16="",B15=""),"",B16-B15)</f>
        <v/>
      </c>
      <c r="J16" s="17" t="str">
        <f aca="false">IF(E16&gt;0,B16/E16,"")</f>
        <v/>
      </c>
    </row>
    <row r="17" customFormat="false" ht="15" hidden="false" customHeight="false" outlineLevel="0" collapsed="false">
      <c r="A17" s="14"/>
      <c r="B17" s="15"/>
      <c r="C17" s="15"/>
      <c r="D17" s="15"/>
      <c r="E17" s="15"/>
      <c r="F17" s="16"/>
      <c r="G17" s="17" t="str">
        <f aca="false">IF(B17&gt;0,D17/B17,"")</f>
        <v/>
      </c>
      <c r="H17" s="17" t="str">
        <f aca="false">IF(B17&gt;0,C17/B17,"")</f>
        <v/>
      </c>
      <c r="I17" s="18" t="str">
        <f aca="false">IF(OR(B17="",B16=""),"",B17-B16)</f>
        <v/>
      </c>
      <c r="J17" s="17" t="str">
        <f aca="false">IF(E17&gt;0,B17/E17,"")</f>
        <v/>
      </c>
    </row>
    <row r="18" customFormat="false" ht="15" hidden="false" customHeight="false" outlineLevel="0" collapsed="false">
      <c r="A18" s="14"/>
      <c r="B18" s="15"/>
      <c r="C18" s="15"/>
      <c r="D18" s="15"/>
      <c r="E18" s="15"/>
      <c r="F18" s="16"/>
      <c r="G18" s="17" t="str">
        <f aca="false">IF(B18&gt;0,D18/B18,"")</f>
        <v/>
      </c>
      <c r="H18" s="17" t="str">
        <f aca="false">IF(B18&gt;0,C18/B18,"")</f>
        <v/>
      </c>
      <c r="I18" s="18" t="str">
        <f aca="false">IF(OR(B18="",B17=""),"",B18-B17)</f>
        <v/>
      </c>
      <c r="J18" s="17" t="str">
        <f aca="false">IF(E18&gt;0,B18/E18,"")</f>
        <v/>
      </c>
    </row>
    <row r="19" customFormat="false" ht="15" hidden="false" customHeight="false" outlineLevel="0" collapsed="false">
      <c r="A19" s="14"/>
      <c r="B19" s="15"/>
      <c r="C19" s="15"/>
      <c r="D19" s="15"/>
      <c r="E19" s="15"/>
      <c r="F19" s="16"/>
      <c r="G19" s="17" t="str">
        <f aca="false">IF(B19&gt;0,D19/B19,"")</f>
        <v/>
      </c>
      <c r="H19" s="17" t="str">
        <f aca="false">IF(B19&gt;0,C19/B19,"")</f>
        <v/>
      </c>
      <c r="I19" s="18" t="str">
        <f aca="false">IF(OR(B19="",B18=""),"",B19-B18)</f>
        <v/>
      </c>
      <c r="J19" s="17" t="str">
        <f aca="false">IF(E19&gt;0,B19/E19,"")</f>
        <v/>
      </c>
    </row>
    <row r="20" customFormat="false" ht="15" hidden="false" customHeight="false" outlineLevel="0" collapsed="false">
      <c r="A20" s="14"/>
      <c r="B20" s="15"/>
      <c r="C20" s="15"/>
      <c r="D20" s="15"/>
      <c r="E20" s="15"/>
      <c r="F20" s="16"/>
      <c r="G20" s="17" t="str">
        <f aca="false">IF(B20&gt;0,D20/B20,"")</f>
        <v/>
      </c>
      <c r="H20" s="17" t="str">
        <f aca="false">IF(B20&gt;0,C20/B20,"")</f>
        <v/>
      </c>
      <c r="I20" s="18" t="str">
        <f aca="false">IF(OR(B20="",B19=""),"",B20-B19)</f>
        <v/>
      </c>
      <c r="J20" s="17" t="str">
        <f aca="false">IF(E20&gt;0,B20/E20,"")</f>
        <v/>
      </c>
    </row>
    <row r="21" customFormat="false" ht="15" hidden="false" customHeight="false" outlineLevel="0" collapsed="false">
      <c r="A21" s="14"/>
      <c r="B21" s="15"/>
      <c r="C21" s="15"/>
      <c r="D21" s="15"/>
      <c r="E21" s="15"/>
      <c r="F21" s="16"/>
      <c r="G21" s="17" t="str">
        <f aca="false">IF(B21&gt;0,D21/B21,"")</f>
        <v/>
      </c>
      <c r="H21" s="17" t="str">
        <f aca="false">IF(B21&gt;0,C21/B21,"")</f>
        <v/>
      </c>
      <c r="I21" s="18" t="str">
        <f aca="false">IF(OR(B21="",B20=""),"",B21-B20)</f>
        <v/>
      </c>
      <c r="J21" s="17" t="str">
        <f aca="false">IF(E21&gt;0,B21/E21,"")</f>
        <v/>
      </c>
    </row>
    <row r="22" customFormat="false" ht="15" hidden="false" customHeight="false" outlineLevel="0" collapsed="false">
      <c r="A22" s="14"/>
      <c r="B22" s="15"/>
      <c r="C22" s="15"/>
      <c r="D22" s="15"/>
      <c r="E22" s="15"/>
      <c r="F22" s="16"/>
      <c r="G22" s="17" t="str">
        <f aca="false">IF(B22&gt;0,D22/B22,"")</f>
        <v/>
      </c>
      <c r="H22" s="17" t="str">
        <f aca="false">IF(B22&gt;0,C22/B22,"")</f>
        <v/>
      </c>
      <c r="I22" s="18" t="str">
        <f aca="false">IF(OR(B22="",B21=""),"",B22-B21)</f>
        <v/>
      </c>
      <c r="J22" s="17" t="str">
        <f aca="false">IF(E22&gt;0,B22/E22,"")</f>
        <v/>
      </c>
    </row>
    <row r="23" customFormat="false" ht="15" hidden="false" customHeight="false" outlineLevel="0" collapsed="false">
      <c r="A23" s="14"/>
      <c r="B23" s="15"/>
      <c r="C23" s="15"/>
      <c r="D23" s="15"/>
      <c r="E23" s="15"/>
      <c r="F23" s="16"/>
      <c r="G23" s="17" t="str">
        <f aca="false">IF(B23&gt;0,D23/B23,"")</f>
        <v/>
      </c>
      <c r="H23" s="17" t="str">
        <f aca="false">IF(B23&gt;0,C23/B23,"")</f>
        <v/>
      </c>
      <c r="I23" s="18" t="str">
        <f aca="false">IF(OR(B23="",B22=""),"",B23-B22)</f>
        <v/>
      </c>
      <c r="J23" s="17" t="str">
        <f aca="false">IF(E23&gt;0,B23/E23,"")</f>
        <v/>
      </c>
    </row>
    <row r="24" customFormat="false" ht="15" hidden="false" customHeight="false" outlineLevel="0" collapsed="false">
      <c r="A24" s="14"/>
      <c r="B24" s="15"/>
      <c r="C24" s="15"/>
      <c r="D24" s="15"/>
      <c r="E24" s="15"/>
      <c r="F24" s="16"/>
      <c r="G24" s="17" t="str">
        <f aca="false">IF(B24&gt;0,D24/B24,"")</f>
        <v/>
      </c>
      <c r="H24" s="17" t="str">
        <f aca="false">IF(B24&gt;0,C24/B24,"")</f>
        <v/>
      </c>
      <c r="I24" s="18" t="str">
        <f aca="false">IF(OR(B24="",B23=""),"",B24-B23)</f>
        <v/>
      </c>
      <c r="J24" s="17" t="str">
        <f aca="false">IF(E24&gt;0,B24/E24,"")</f>
        <v/>
      </c>
    </row>
    <row r="26" customFormat="false" ht="15" hidden="false" customHeight="false" outlineLevel="0" collapsed="false">
      <c r="A26" s="19" t="s">
        <v>48</v>
      </c>
      <c r="B26" s="20" t="n">
        <f aca="false">SUM(B5:B24)</f>
        <v>0</v>
      </c>
      <c r="C26" s="20" t="n">
        <f aca="false">SUM(C5:C24)</f>
        <v>0</v>
      </c>
      <c r="D26" s="20" t="n">
        <f aca="false">SUM(D5:D24)</f>
        <v>0</v>
      </c>
      <c r="E26" s="20" t="n">
        <f aca="false">SUM(E5:E24)</f>
        <v>0</v>
      </c>
      <c r="F26" s="19"/>
      <c r="G26" s="21" t="str">
        <f aca="false">IF(B26&gt;0,D26/B26,"")</f>
        <v/>
      </c>
      <c r="H26" s="21" t="str">
        <f aca="false">IF(B26&gt;0,C26/B26,"")</f>
        <v/>
      </c>
      <c r="I26" s="22"/>
      <c r="J26" s="21" t="str">
        <f aca="false">IF(E26&gt;0,B26/E26,"")</f>
        <v/>
      </c>
    </row>
  </sheetData>
  <dataValidations count="1">
    <dataValidation allowBlank="true" errorStyle="stop" operator="between" showDropDown="false" showErrorMessage="false" showInputMessage="false" sqref="F5:F24" type="list">
      <formula1>"Facebook,Instagram,X,LinkedIn,YouTube,Product Hunt,Search,Direct,Other"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3"/>
    <col collapsed="false" customWidth="true" hidden="false" outlineLevel="0" max="11" min="11" style="0" width="14"/>
    <col collapsed="false" customWidth="true" hidden="false" outlineLevel="0" max="12" min="12" style="0" width="9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14"/>
    <col collapsed="false" customWidth="true" hidden="false" outlineLevel="0" max="18" min="18" style="0" width="11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7" t="s">
        <v>50</v>
      </c>
      <c r="K2" s="23" t="s">
        <v>51</v>
      </c>
    </row>
    <row r="3" customFormat="false" ht="31.5" hidden="false" customHeight="true" outlineLevel="0" collapsed="false">
      <c r="A3" s="8" t="s">
        <v>38</v>
      </c>
      <c r="B3" s="8" t="s">
        <v>52</v>
      </c>
      <c r="C3" s="8" t="s">
        <v>53</v>
      </c>
      <c r="D3" s="8" t="s">
        <v>54</v>
      </c>
      <c r="E3" s="8" t="s">
        <v>55</v>
      </c>
      <c r="F3" s="8" t="s">
        <v>56</v>
      </c>
      <c r="G3" s="8" t="s">
        <v>57</v>
      </c>
      <c r="H3" s="8" t="s">
        <v>58</v>
      </c>
      <c r="I3" s="8" t="s">
        <v>59</v>
      </c>
      <c r="K3" s="8" t="s">
        <v>52</v>
      </c>
      <c r="L3" s="8" t="s">
        <v>53</v>
      </c>
      <c r="M3" s="8" t="s">
        <v>54</v>
      </c>
      <c r="N3" s="8" t="s">
        <v>55</v>
      </c>
      <c r="O3" s="8" t="s">
        <v>56</v>
      </c>
      <c r="P3" s="8" t="s">
        <v>57</v>
      </c>
      <c r="Q3" s="8" t="s">
        <v>58</v>
      </c>
      <c r="R3" s="8" t="s">
        <v>59</v>
      </c>
    </row>
    <row r="4" customFormat="false" ht="15" hidden="false" customHeight="false" outlineLevel="0" collapsed="false">
      <c r="A4" s="9" t="n">
        <v>46314</v>
      </c>
      <c r="B4" s="11" t="s">
        <v>21</v>
      </c>
      <c r="C4" s="10" t="n">
        <v>5</v>
      </c>
      <c r="D4" s="10" t="n">
        <v>3200</v>
      </c>
      <c r="E4" s="10" t="n">
        <v>210</v>
      </c>
      <c r="F4" s="10" t="n">
        <v>38</v>
      </c>
      <c r="G4" s="10" t="n">
        <v>24</v>
      </c>
      <c r="H4" s="12" t="n">
        <f aca="false">IF(D4&gt;0,E4/D4,"")</f>
        <v>0.065625</v>
      </c>
      <c r="I4" s="12" t="n">
        <f aca="false">IF(D4&gt;0,F4/D4,"")</f>
        <v>0.011875</v>
      </c>
      <c r="K4" s="24" t="s">
        <v>19</v>
      </c>
      <c r="L4" s="25" t="n">
        <f aca="false">SUMIFS($C$5:$C$104,$B$5:$B$104,$K4)</f>
        <v>0</v>
      </c>
      <c r="M4" s="25" t="n">
        <f aca="false">SUMIFS($D$5:$D$104,$B$5:$B$104,$K4)</f>
        <v>0</v>
      </c>
      <c r="N4" s="25" t="n">
        <f aca="false">SUMIFS($E$5:$E$104,$B$5:$B$104,$K4)</f>
        <v>0</v>
      </c>
      <c r="O4" s="25" t="n">
        <f aca="false">SUMIFS($F$5:$F$104,$B$5:$B$104,$K4)</f>
        <v>0</v>
      </c>
      <c r="P4" s="25" t="n">
        <f aca="false">SUMIFS($G$5:$G$104,$B$5:$B$104,$K4)</f>
        <v>0</v>
      </c>
      <c r="Q4" s="17" t="str">
        <f aca="false">IF(M4&gt;0,N4/M4,"")</f>
        <v/>
      </c>
      <c r="R4" s="17" t="str">
        <f aca="false">IF(M4&gt;0,O4/M4,"")</f>
        <v/>
      </c>
    </row>
    <row r="5" customFormat="false" ht="15" hidden="false" customHeight="false" outlineLevel="0" collapsed="false">
      <c r="A5" s="14"/>
      <c r="B5" s="16"/>
      <c r="C5" s="15"/>
      <c r="D5" s="15"/>
      <c r="E5" s="15"/>
      <c r="F5" s="15"/>
      <c r="G5" s="15"/>
      <c r="H5" s="17" t="str">
        <f aca="false">IF(D5&gt;0,E5/D5,"")</f>
        <v/>
      </c>
      <c r="I5" s="17" t="str">
        <f aca="false">IF(D5&gt;0,F5/D5,"")</f>
        <v/>
      </c>
      <c r="K5" s="24" t="s">
        <v>21</v>
      </c>
      <c r="L5" s="25" t="n">
        <f aca="false">SUMIFS($C$5:$C$104,$B$5:$B$104,$K5)</f>
        <v>0</v>
      </c>
      <c r="M5" s="25" t="n">
        <f aca="false">SUMIFS($D$5:$D$104,$B$5:$B$104,$K5)</f>
        <v>0</v>
      </c>
      <c r="N5" s="25" t="n">
        <f aca="false">SUMIFS($E$5:$E$104,$B$5:$B$104,$K5)</f>
        <v>0</v>
      </c>
      <c r="O5" s="25" t="n">
        <f aca="false">SUMIFS($F$5:$F$104,$B$5:$B$104,$K5)</f>
        <v>0</v>
      </c>
      <c r="P5" s="25" t="n">
        <f aca="false">SUMIFS($G$5:$G$104,$B$5:$B$104,$K5)</f>
        <v>0</v>
      </c>
      <c r="Q5" s="17" t="str">
        <f aca="false">IF(M5&gt;0,N5/M5,"")</f>
        <v/>
      </c>
      <c r="R5" s="17" t="str">
        <f aca="false">IF(M5&gt;0,O5/M5,"")</f>
        <v/>
      </c>
    </row>
    <row r="6" customFormat="false" ht="15" hidden="false" customHeight="false" outlineLevel="0" collapsed="false">
      <c r="A6" s="14"/>
      <c r="B6" s="16"/>
      <c r="C6" s="15"/>
      <c r="D6" s="15"/>
      <c r="E6" s="15"/>
      <c r="F6" s="15"/>
      <c r="G6" s="15"/>
      <c r="H6" s="17" t="str">
        <f aca="false">IF(D6&gt;0,E6/D6,"")</f>
        <v/>
      </c>
      <c r="I6" s="17" t="str">
        <f aca="false">IF(D6&gt;0,F6/D6,"")</f>
        <v/>
      </c>
      <c r="K6" s="24" t="s">
        <v>23</v>
      </c>
      <c r="L6" s="25" t="n">
        <f aca="false">SUMIFS($C$5:$C$104,$B$5:$B$104,$K6)</f>
        <v>0</v>
      </c>
      <c r="M6" s="25" t="n">
        <f aca="false">SUMIFS($D$5:$D$104,$B$5:$B$104,$K6)</f>
        <v>0</v>
      </c>
      <c r="N6" s="25" t="n">
        <f aca="false">SUMIFS($E$5:$E$104,$B$5:$B$104,$K6)</f>
        <v>0</v>
      </c>
      <c r="O6" s="25" t="n">
        <f aca="false">SUMIFS($F$5:$F$104,$B$5:$B$104,$K6)</f>
        <v>0</v>
      </c>
      <c r="P6" s="25" t="n">
        <f aca="false">SUMIFS($G$5:$G$104,$B$5:$B$104,$K6)</f>
        <v>0</v>
      </c>
      <c r="Q6" s="17" t="str">
        <f aca="false">IF(M6&gt;0,N6/M6,"")</f>
        <v/>
      </c>
      <c r="R6" s="17" t="str">
        <f aca="false">IF(M6&gt;0,O6/M6,"")</f>
        <v/>
      </c>
    </row>
    <row r="7" customFormat="false" ht="15" hidden="false" customHeight="false" outlineLevel="0" collapsed="false">
      <c r="A7" s="14"/>
      <c r="B7" s="16"/>
      <c r="C7" s="15"/>
      <c r="D7" s="15"/>
      <c r="E7" s="15"/>
      <c r="F7" s="15"/>
      <c r="G7" s="15"/>
      <c r="H7" s="17" t="str">
        <f aca="false">IF(D7&gt;0,E7/D7,"")</f>
        <v/>
      </c>
      <c r="I7" s="17" t="str">
        <f aca="false">IF(D7&gt;0,F7/D7,"")</f>
        <v/>
      </c>
      <c r="K7" s="24" t="s">
        <v>25</v>
      </c>
      <c r="L7" s="25" t="n">
        <f aca="false">SUMIFS($C$5:$C$104,$B$5:$B$104,$K7)</f>
        <v>0</v>
      </c>
      <c r="M7" s="25" t="n">
        <f aca="false">SUMIFS($D$5:$D$104,$B$5:$B$104,$K7)</f>
        <v>0</v>
      </c>
      <c r="N7" s="25" t="n">
        <f aca="false">SUMIFS($E$5:$E$104,$B$5:$B$104,$K7)</f>
        <v>0</v>
      </c>
      <c r="O7" s="25" t="n">
        <f aca="false">SUMIFS($F$5:$F$104,$B$5:$B$104,$K7)</f>
        <v>0</v>
      </c>
      <c r="P7" s="25" t="n">
        <f aca="false">SUMIFS($G$5:$G$104,$B$5:$B$104,$K7)</f>
        <v>0</v>
      </c>
      <c r="Q7" s="17" t="str">
        <f aca="false">IF(M7&gt;0,N7/M7,"")</f>
        <v/>
      </c>
      <c r="R7" s="17" t="str">
        <f aca="false">IF(M7&gt;0,O7/M7,"")</f>
        <v/>
      </c>
    </row>
    <row r="8" customFormat="false" ht="15" hidden="false" customHeight="false" outlineLevel="0" collapsed="false">
      <c r="A8" s="14"/>
      <c r="B8" s="16"/>
      <c r="C8" s="15"/>
      <c r="D8" s="15"/>
      <c r="E8" s="15"/>
      <c r="F8" s="15"/>
      <c r="G8" s="15"/>
      <c r="H8" s="17" t="str">
        <f aca="false">IF(D8&gt;0,E8/D8,"")</f>
        <v/>
      </c>
      <c r="I8" s="17" t="str">
        <f aca="false">IF(D8&gt;0,F8/D8,"")</f>
        <v/>
      </c>
      <c r="K8" s="24" t="s">
        <v>27</v>
      </c>
      <c r="L8" s="25" t="n">
        <f aca="false">SUMIFS($C$5:$C$104,$B$5:$B$104,$K8)</f>
        <v>0</v>
      </c>
      <c r="M8" s="25" t="n">
        <f aca="false">SUMIFS($D$5:$D$104,$B$5:$B$104,$K8)</f>
        <v>0</v>
      </c>
      <c r="N8" s="25" t="n">
        <f aca="false">SUMIFS($E$5:$E$104,$B$5:$B$104,$K8)</f>
        <v>0</v>
      </c>
      <c r="O8" s="25" t="n">
        <f aca="false">SUMIFS($F$5:$F$104,$B$5:$B$104,$K8)</f>
        <v>0</v>
      </c>
      <c r="P8" s="25" t="n">
        <f aca="false">SUMIFS($G$5:$G$104,$B$5:$B$104,$K8)</f>
        <v>0</v>
      </c>
      <c r="Q8" s="17" t="str">
        <f aca="false">IF(M8&gt;0,N8/M8,"")</f>
        <v/>
      </c>
      <c r="R8" s="17" t="str">
        <f aca="false">IF(M8&gt;0,O8/M8,"")</f>
        <v/>
      </c>
    </row>
    <row r="9" customFormat="false" ht="15" hidden="false" customHeight="false" outlineLevel="0" collapsed="false">
      <c r="A9" s="14"/>
      <c r="B9" s="16"/>
      <c r="C9" s="15"/>
      <c r="D9" s="15"/>
      <c r="E9" s="15"/>
      <c r="F9" s="15"/>
      <c r="G9" s="15"/>
      <c r="H9" s="17" t="str">
        <f aca="false">IF(D9&gt;0,E9/D9,"")</f>
        <v/>
      </c>
      <c r="I9" s="17" t="str">
        <f aca="false">IF(D9&gt;0,F9/D9,"")</f>
        <v/>
      </c>
      <c r="K9" s="19" t="s">
        <v>60</v>
      </c>
      <c r="L9" s="20" t="n">
        <f aca="false">SUM(L4:L8)</f>
        <v>0</v>
      </c>
      <c r="M9" s="20" t="n">
        <f aca="false">SUM(M4:M8)</f>
        <v>0</v>
      </c>
      <c r="N9" s="20" t="n">
        <f aca="false">SUM(N4:N8)</f>
        <v>0</v>
      </c>
      <c r="O9" s="20" t="n">
        <f aca="false">SUM(O4:O8)</f>
        <v>0</v>
      </c>
      <c r="P9" s="20" t="n">
        <f aca="false">SUM(P4:P8)</f>
        <v>0</v>
      </c>
      <c r="Q9" s="21" t="str">
        <f aca="false">IF(M9&gt;0,N9/M9,"")</f>
        <v/>
      </c>
      <c r="R9" s="21" t="str">
        <f aca="false">IF(M9&gt;0,O9/M9,"")</f>
        <v/>
      </c>
    </row>
    <row r="10" customFormat="false" ht="15" hidden="false" customHeight="false" outlineLevel="0" collapsed="false">
      <c r="A10" s="14"/>
      <c r="B10" s="16"/>
      <c r="C10" s="15"/>
      <c r="D10" s="15"/>
      <c r="E10" s="15"/>
      <c r="F10" s="15"/>
      <c r="G10" s="15"/>
      <c r="H10" s="17" t="str">
        <f aca="false">IF(D10&gt;0,E10/D10,"")</f>
        <v/>
      </c>
      <c r="I10" s="17" t="str">
        <f aca="false">IF(D10&gt;0,F10/D10,"")</f>
        <v/>
      </c>
    </row>
    <row r="11" customFormat="false" ht="15" hidden="false" customHeight="false" outlineLevel="0" collapsed="false">
      <c r="A11" s="14"/>
      <c r="B11" s="16"/>
      <c r="C11" s="15"/>
      <c r="D11" s="15"/>
      <c r="E11" s="15"/>
      <c r="F11" s="15"/>
      <c r="G11" s="15"/>
      <c r="H11" s="17" t="str">
        <f aca="false">IF(D11&gt;0,E11/D11,"")</f>
        <v/>
      </c>
      <c r="I11" s="17" t="str">
        <f aca="false">IF(D11&gt;0,F11/D11,"")</f>
        <v/>
      </c>
    </row>
    <row r="12" customFormat="false" ht="15" hidden="false" customHeight="false" outlineLevel="0" collapsed="false">
      <c r="A12" s="14"/>
      <c r="B12" s="16"/>
      <c r="C12" s="15"/>
      <c r="D12" s="15"/>
      <c r="E12" s="15"/>
      <c r="F12" s="15"/>
      <c r="G12" s="15"/>
      <c r="H12" s="17" t="str">
        <f aca="false">IF(D12&gt;0,E12/D12,"")</f>
        <v/>
      </c>
      <c r="I12" s="17" t="str">
        <f aca="false">IF(D12&gt;0,F12/D12,"")</f>
        <v/>
      </c>
    </row>
    <row r="13" customFormat="false" ht="15" hidden="false" customHeight="false" outlineLevel="0" collapsed="false">
      <c r="A13" s="14"/>
      <c r="B13" s="16"/>
      <c r="C13" s="15"/>
      <c r="D13" s="15"/>
      <c r="E13" s="15"/>
      <c r="F13" s="15"/>
      <c r="G13" s="15"/>
      <c r="H13" s="17" t="str">
        <f aca="false">IF(D13&gt;0,E13/D13,"")</f>
        <v/>
      </c>
      <c r="I13" s="17" t="str">
        <f aca="false">IF(D13&gt;0,F13/D13,"")</f>
        <v/>
      </c>
    </row>
    <row r="14" customFormat="false" ht="15" hidden="false" customHeight="false" outlineLevel="0" collapsed="false">
      <c r="A14" s="14"/>
      <c r="B14" s="16"/>
      <c r="C14" s="15"/>
      <c r="D14" s="15"/>
      <c r="E14" s="15"/>
      <c r="F14" s="15"/>
      <c r="G14" s="15"/>
      <c r="H14" s="17" t="str">
        <f aca="false">IF(D14&gt;0,E14/D14,"")</f>
        <v/>
      </c>
      <c r="I14" s="17" t="str">
        <f aca="false">IF(D14&gt;0,F14/D14,"")</f>
        <v/>
      </c>
    </row>
    <row r="15" customFormat="false" ht="15" hidden="false" customHeight="false" outlineLevel="0" collapsed="false">
      <c r="A15" s="14"/>
      <c r="B15" s="16"/>
      <c r="C15" s="15"/>
      <c r="D15" s="15"/>
      <c r="E15" s="15"/>
      <c r="F15" s="15"/>
      <c r="G15" s="15"/>
      <c r="H15" s="17" t="str">
        <f aca="false">IF(D15&gt;0,E15/D15,"")</f>
        <v/>
      </c>
      <c r="I15" s="17" t="str">
        <f aca="false">IF(D15&gt;0,F15/D15,"")</f>
        <v/>
      </c>
    </row>
    <row r="16" customFormat="false" ht="15" hidden="false" customHeight="false" outlineLevel="0" collapsed="false">
      <c r="A16" s="14"/>
      <c r="B16" s="16"/>
      <c r="C16" s="15"/>
      <c r="D16" s="15"/>
      <c r="E16" s="15"/>
      <c r="F16" s="15"/>
      <c r="G16" s="15"/>
      <c r="H16" s="17" t="str">
        <f aca="false">IF(D16&gt;0,E16/D16,"")</f>
        <v/>
      </c>
      <c r="I16" s="17" t="str">
        <f aca="false">IF(D16&gt;0,F16/D16,"")</f>
        <v/>
      </c>
    </row>
    <row r="17" customFormat="false" ht="15" hidden="false" customHeight="false" outlineLevel="0" collapsed="false">
      <c r="A17" s="14"/>
      <c r="B17" s="16"/>
      <c r="C17" s="15"/>
      <c r="D17" s="15"/>
      <c r="E17" s="15"/>
      <c r="F17" s="15"/>
      <c r="G17" s="15"/>
      <c r="H17" s="17" t="str">
        <f aca="false">IF(D17&gt;0,E17/D17,"")</f>
        <v/>
      </c>
      <c r="I17" s="17" t="str">
        <f aca="false">IF(D17&gt;0,F17/D17,"")</f>
        <v/>
      </c>
    </row>
    <row r="18" customFormat="false" ht="15" hidden="false" customHeight="false" outlineLevel="0" collapsed="false">
      <c r="A18" s="14"/>
      <c r="B18" s="16"/>
      <c r="C18" s="15"/>
      <c r="D18" s="15"/>
      <c r="E18" s="15"/>
      <c r="F18" s="15"/>
      <c r="G18" s="15"/>
      <c r="H18" s="17" t="str">
        <f aca="false">IF(D18&gt;0,E18/D18,"")</f>
        <v/>
      </c>
      <c r="I18" s="17" t="str">
        <f aca="false">IF(D18&gt;0,F18/D18,"")</f>
        <v/>
      </c>
    </row>
    <row r="19" customFormat="false" ht="15" hidden="false" customHeight="false" outlineLevel="0" collapsed="false">
      <c r="A19" s="14"/>
      <c r="B19" s="16"/>
      <c r="C19" s="15"/>
      <c r="D19" s="15"/>
      <c r="E19" s="15"/>
      <c r="F19" s="15"/>
      <c r="G19" s="15"/>
      <c r="H19" s="17" t="str">
        <f aca="false">IF(D19&gt;0,E19/D19,"")</f>
        <v/>
      </c>
      <c r="I19" s="17" t="str">
        <f aca="false">IF(D19&gt;0,F19/D19,"")</f>
        <v/>
      </c>
    </row>
    <row r="20" customFormat="false" ht="15" hidden="false" customHeight="false" outlineLevel="0" collapsed="false">
      <c r="A20" s="14"/>
      <c r="B20" s="16"/>
      <c r="C20" s="15"/>
      <c r="D20" s="15"/>
      <c r="E20" s="15"/>
      <c r="F20" s="15"/>
      <c r="G20" s="15"/>
      <c r="H20" s="17" t="str">
        <f aca="false">IF(D20&gt;0,E20/D20,"")</f>
        <v/>
      </c>
      <c r="I20" s="17" t="str">
        <f aca="false">IF(D20&gt;0,F20/D20,"")</f>
        <v/>
      </c>
    </row>
    <row r="21" customFormat="false" ht="15" hidden="false" customHeight="false" outlineLevel="0" collapsed="false">
      <c r="A21" s="14"/>
      <c r="B21" s="16"/>
      <c r="C21" s="15"/>
      <c r="D21" s="15"/>
      <c r="E21" s="15"/>
      <c r="F21" s="15"/>
      <c r="G21" s="15"/>
      <c r="H21" s="17" t="str">
        <f aca="false">IF(D21&gt;0,E21/D21,"")</f>
        <v/>
      </c>
      <c r="I21" s="17" t="str">
        <f aca="false">IF(D21&gt;0,F21/D21,"")</f>
        <v/>
      </c>
    </row>
    <row r="22" customFormat="false" ht="15" hidden="false" customHeight="false" outlineLevel="0" collapsed="false">
      <c r="A22" s="14"/>
      <c r="B22" s="16"/>
      <c r="C22" s="15"/>
      <c r="D22" s="15"/>
      <c r="E22" s="15"/>
      <c r="F22" s="15"/>
      <c r="G22" s="15"/>
      <c r="H22" s="17" t="str">
        <f aca="false">IF(D22&gt;0,E22/D22,"")</f>
        <v/>
      </c>
      <c r="I22" s="17" t="str">
        <f aca="false">IF(D22&gt;0,F22/D22,"")</f>
        <v/>
      </c>
    </row>
    <row r="23" customFormat="false" ht="15" hidden="false" customHeight="false" outlineLevel="0" collapsed="false">
      <c r="A23" s="14"/>
      <c r="B23" s="16"/>
      <c r="C23" s="15"/>
      <c r="D23" s="15"/>
      <c r="E23" s="15"/>
      <c r="F23" s="15"/>
      <c r="G23" s="15"/>
      <c r="H23" s="17" t="str">
        <f aca="false">IF(D23&gt;0,E23/D23,"")</f>
        <v/>
      </c>
      <c r="I23" s="17" t="str">
        <f aca="false">IF(D23&gt;0,F23/D23,"")</f>
        <v/>
      </c>
    </row>
    <row r="24" customFormat="false" ht="15" hidden="false" customHeight="false" outlineLevel="0" collapsed="false">
      <c r="A24" s="14"/>
      <c r="B24" s="16"/>
      <c r="C24" s="15"/>
      <c r="D24" s="15"/>
      <c r="E24" s="15"/>
      <c r="F24" s="15"/>
      <c r="G24" s="15"/>
      <c r="H24" s="17" t="str">
        <f aca="false">IF(D24&gt;0,E24/D24,"")</f>
        <v/>
      </c>
      <c r="I24" s="17" t="str">
        <f aca="false">IF(D24&gt;0,F24/D24,"")</f>
        <v/>
      </c>
    </row>
    <row r="25" customFormat="false" ht="15" hidden="false" customHeight="false" outlineLevel="0" collapsed="false">
      <c r="A25" s="14"/>
      <c r="B25" s="16"/>
      <c r="C25" s="15"/>
      <c r="D25" s="15"/>
      <c r="E25" s="15"/>
      <c r="F25" s="15"/>
      <c r="G25" s="15"/>
      <c r="H25" s="17" t="str">
        <f aca="false">IF(D25&gt;0,E25/D25,"")</f>
        <v/>
      </c>
      <c r="I25" s="17" t="str">
        <f aca="false">IF(D25&gt;0,F25/D25,"")</f>
        <v/>
      </c>
    </row>
    <row r="26" customFormat="false" ht="15" hidden="false" customHeight="false" outlineLevel="0" collapsed="false">
      <c r="A26" s="14"/>
      <c r="B26" s="16"/>
      <c r="C26" s="15"/>
      <c r="D26" s="15"/>
      <c r="E26" s="15"/>
      <c r="F26" s="15"/>
      <c r="G26" s="15"/>
      <c r="H26" s="17" t="str">
        <f aca="false">IF(D26&gt;0,E26/D26,"")</f>
        <v/>
      </c>
      <c r="I26" s="17" t="str">
        <f aca="false">IF(D26&gt;0,F26/D26,"")</f>
        <v/>
      </c>
    </row>
    <row r="27" customFormat="false" ht="15" hidden="false" customHeight="false" outlineLevel="0" collapsed="false">
      <c r="A27" s="14"/>
      <c r="B27" s="16"/>
      <c r="C27" s="15"/>
      <c r="D27" s="15"/>
      <c r="E27" s="15"/>
      <c r="F27" s="15"/>
      <c r="G27" s="15"/>
      <c r="H27" s="17" t="str">
        <f aca="false">IF(D27&gt;0,E27/D27,"")</f>
        <v/>
      </c>
      <c r="I27" s="17" t="str">
        <f aca="false">IF(D27&gt;0,F27/D27,"")</f>
        <v/>
      </c>
    </row>
    <row r="28" customFormat="false" ht="15" hidden="false" customHeight="false" outlineLevel="0" collapsed="false">
      <c r="A28" s="14"/>
      <c r="B28" s="16"/>
      <c r="C28" s="15"/>
      <c r="D28" s="15"/>
      <c r="E28" s="15"/>
      <c r="F28" s="15"/>
      <c r="G28" s="15"/>
      <c r="H28" s="17" t="str">
        <f aca="false">IF(D28&gt;0,E28/D28,"")</f>
        <v/>
      </c>
      <c r="I28" s="17" t="str">
        <f aca="false">IF(D28&gt;0,F28/D28,"")</f>
        <v/>
      </c>
    </row>
    <row r="29" customFormat="false" ht="15" hidden="false" customHeight="false" outlineLevel="0" collapsed="false">
      <c r="A29" s="14"/>
      <c r="B29" s="16"/>
      <c r="C29" s="15"/>
      <c r="D29" s="15"/>
      <c r="E29" s="15"/>
      <c r="F29" s="15"/>
      <c r="G29" s="15"/>
      <c r="H29" s="17" t="str">
        <f aca="false">IF(D29&gt;0,E29/D29,"")</f>
        <v/>
      </c>
      <c r="I29" s="17" t="str">
        <f aca="false">IF(D29&gt;0,F29/D29,"")</f>
        <v/>
      </c>
    </row>
    <row r="30" customFormat="false" ht="15" hidden="false" customHeight="false" outlineLevel="0" collapsed="false">
      <c r="A30" s="14"/>
      <c r="B30" s="16"/>
      <c r="C30" s="15"/>
      <c r="D30" s="15"/>
      <c r="E30" s="15"/>
      <c r="F30" s="15"/>
      <c r="G30" s="15"/>
      <c r="H30" s="17" t="str">
        <f aca="false">IF(D30&gt;0,E30/D30,"")</f>
        <v/>
      </c>
      <c r="I30" s="17" t="str">
        <f aca="false">IF(D30&gt;0,F30/D30,"")</f>
        <v/>
      </c>
    </row>
    <row r="31" customFormat="false" ht="15" hidden="false" customHeight="false" outlineLevel="0" collapsed="false">
      <c r="A31" s="14"/>
      <c r="B31" s="16"/>
      <c r="C31" s="15"/>
      <c r="D31" s="15"/>
      <c r="E31" s="15"/>
      <c r="F31" s="15"/>
      <c r="G31" s="15"/>
      <c r="H31" s="17" t="str">
        <f aca="false">IF(D31&gt;0,E31/D31,"")</f>
        <v/>
      </c>
      <c r="I31" s="17" t="str">
        <f aca="false">IF(D31&gt;0,F31/D31,"")</f>
        <v/>
      </c>
    </row>
    <row r="32" customFormat="false" ht="15" hidden="false" customHeight="false" outlineLevel="0" collapsed="false">
      <c r="A32" s="14"/>
      <c r="B32" s="16"/>
      <c r="C32" s="15"/>
      <c r="D32" s="15"/>
      <c r="E32" s="15"/>
      <c r="F32" s="15"/>
      <c r="G32" s="15"/>
      <c r="H32" s="17" t="str">
        <f aca="false">IF(D32&gt;0,E32/D32,"")</f>
        <v/>
      </c>
      <c r="I32" s="17" t="str">
        <f aca="false">IF(D32&gt;0,F32/D32,"")</f>
        <v/>
      </c>
    </row>
    <row r="33" customFormat="false" ht="15" hidden="false" customHeight="false" outlineLevel="0" collapsed="false">
      <c r="A33" s="14"/>
      <c r="B33" s="16"/>
      <c r="C33" s="15"/>
      <c r="D33" s="15"/>
      <c r="E33" s="15"/>
      <c r="F33" s="15"/>
      <c r="G33" s="15"/>
      <c r="H33" s="17" t="str">
        <f aca="false">IF(D33&gt;0,E33/D33,"")</f>
        <v/>
      </c>
      <c r="I33" s="17" t="str">
        <f aca="false">IF(D33&gt;0,F33/D33,"")</f>
        <v/>
      </c>
    </row>
    <row r="34" customFormat="false" ht="15" hidden="false" customHeight="false" outlineLevel="0" collapsed="false">
      <c r="A34" s="14"/>
      <c r="B34" s="16"/>
      <c r="C34" s="15"/>
      <c r="D34" s="15"/>
      <c r="E34" s="15"/>
      <c r="F34" s="15"/>
      <c r="G34" s="15"/>
      <c r="H34" s="17" t="str">
        <f aca="false">IF(D34&gt;0,E34/D34,"")</f>
        <v/>
      </c>
      <c r="I34" s="17" t="str">
        <f aca="false">IF(D34&gt;0,F34/D34,"")</f>
        <v/>
      </c>
    </row>
    <row r="35" customFormat="false" ht="15" hidden="false" customHeight="false" outlineLevel="0" collapsed="false">
      <c r="A35" s="14"/>
      <c r="B35" s="16"/>
      <c r="C35" s="15"/>
      <c r="D35" s="15"/>
      <c r="E35" s="15"/>
      <c r="F35" s="15"/>
      <c r="G35" s="15"/>
      <c r="H35" s="17" t="str">
        <f aca="false">IF(D35&gt;0,E35/D35,"")</f>
        <v/>
      </c>
      <c r="I35" s="17" t="str">
        <f aca="false">IF(D35&gt;0,F35/D35,"")</f>
        <v/>
      </c>
    </row>
    <row r="36" customFormat="false" ht="15" hidden="false" customHeight="false" outlineLevel="0" collapsed="false">
      <c r="A36" s="14"/>
      <c r="B36" s="16"/>
      <c r="C36" s="15"/>
      <c r="D36" s="15"/>
      <c r="E36" s="15"/>
      <c r="F36" s="15"/>
      <c r="G36" s="15"/>
      <c r="H36" s="17" t="str">
        <f aca="false">IF(D36&gt;0,E36/D36,"")</f>
        <v/>
      </c>
      <c r="I36" s="17" t="str">
        <f aca="false">IF(D36&gt;0,F36/D36,"")</f>
        <v/>
      </c>
    </row>
    <row r="37" customFormat="false" ht="15" hidden="false" customHeight="false" outlineLevel="0" collapsed="false">
      <c r="A37" s="14"/>
      <c r="B37" s="16"/>
      <c r="C37" s="15"/>
      <c r="D37" s="15"/>
      <c r="E37" s="15"/>
      <c r="F37" s="15"/>
      <c r="G37" s="15"/>
      <c r="H37" s="17" t="str">
        <f aca="false">IF(D37&gt;0,E37/D37,"")</f>
        <v/>
      </c>
      <c r="I37" s="17" t="str">
        <f aca="false">IF(D37&gt;0,F37/D37,"")</f>
        <v/>
      </c>
    </row>
    <row r="38" customFormat="false" ht="15" hidden="false" customHeight="false" outlineLevel="0" collapsed="false">
      <c r="A38" s="14"/>
      <c r="B38" s="16"/>
      <c r="C38" s="15"/>
      <c r="D38" s="15"/>
      <c r="E38" s="15"/>
      <c r="F38" s="15"/>
      <c r="G38" s="15"/>
      <c r="H38" s="17" t="str">
        <f aca="false">IF(D38&gt;0,E38/D38,"")</f>
        <v/>
      </c>
      <c r="I38" s="17" t="str">
        <f aca="false">IF(D38&gt;0,F38/D38,"")</f>
        <v/>
      </c>
    </row>
    <row r="39" customFormat="false" ht="15" hidden="false" customHeight="false" outlineLevel="0" collapsed="false">
      <c r="A39" s="14"/>
      <c r="B39" s="16"/>
      <c r="C39" s="15"/>
      <c r="D39" s="15"/>
      <c r="E39" s="15"/>
      <c r="F39" s="15"/>
      <c r="G39" s="15"/>
      <c r="H39" s="17" t="str">
        <f aca="false">IF(D39&gt;0,E39/D39,"")</f>
        <v/>
      </c>
      <c r="I39" s="17" t="str">
        <f aca="false">IF(D39&gt;0,F39/D39,"")</f>
        <v/>
      </c>
    </row>
    <row r="40" customFormat="false" ht="15" hidden="false" customHeight="false" outlineLevel="0" collapsed="false">
      <c r="A40" s="14"/>
      <c r="B40" s="16"/>
      <c r="C40" s="15"/>
      <c r="D40" s="15"/>
      <c r="E40" s="15"/>
      <c r="F40" s="15"/>
      <c r="G40" s="15"/>
      <c r="H40" s="17" t="str">
        <f aca="false">IF(D40&gt;0,E40/D40,"")</f>
        <v/>
      </c>
      <c r="I40" s="17" t="str">
        <f aca="false">IF(D40&gt;0,F40/D40,"")</f>
        <v/>
      </c>
    </row>
    <row r="41" customFormat="false" ht="15" hidden="false" customHeight="false" outlineLevel="0" collapsed="false">
      <c r="A41" s="14"/>
      <c r="B41" s="16"/>
      <c r="C41" s="15"/>
      <c r="D41" s="15"/>
      <c r="E41" s="15"/>
      <c r="F41" s="15"/>
      <c r="G41" s="15"/>
      <c r="H41" s="17" t="str">
        <f aca="false">IF(D41&gt;0,E41/D41,"")</f>
        <v/>
      </c>
      <c r="I41" s="17" t="str">
        <f aca="false">IF(D41&gt;0,F41/D41,"")</f>
        <v/>
      </c>
    </row>
    <row r="42" customFormat="false" ht="15" hidden="false" customHeight="false" outlineLevel="0" collapsed="false">
      <c r="A42" s="14"/>
      <c r="B42" s="16"/>
      <c r="C42" s="15"/>
      <c r="D42" s="15"/>
      <c r="E42" s="15"/>
      <c r="F42" s="15"/>
      <c r="G42" s="15"/>
      <c r="H42" s="17" t="str">
        <f aca="false">IF(D42&gt;0,E42/D42,"")</f>
        <v/>
      </c>
      <c r="I42" s="17" t="str">
        <f aca="false">IF(D42&gt;0,F42/D42,"")</f>
        <v/>
      </c>
    </row>
    <row r="43" customFormat="false" ht="15" hidden="false" customHeight="false" outlineLevel="0" collapsed="false">
      <c r="A43" s="14"/>
      <c r="B43" s="16"/>
      <c r="C43" s="15"/>
      <c r="D43" s="15"/>
      <c r="E43" s="15"/>
      <c r="F43" s="15"/>
      <c r="G43" s="15"/>
      <c r="H43" s="17" t="str">
        <f aca="false">IF(D43&gt;0,E43/D43,"")</f>
        <v/>
      </c>
      <c r="I43" s="17" t="str">
        <f aca="false">IF(D43&gt;0,F43/D43,"")</f>
        <v/>
      </c>
    </row>
    <row r="44" customFormat="false" ht="15" hidden="false" customHeight="false" outlineLevel="0" collapsed="false">
      <c r="A44" s="14"/>
      <c r="B44" s="16"/>
      <c r="C44" s="15"/>
      <c r="D44" s="15"/>
      <c r="E44" s="15"/>
      <c r="F44" s="15"/>
      <c r="G44" s="15"/>
      <c r="H44" s="17" t="str">
        <f aca="false">IF(D44&gt;0,E44/D44,"")</f>
        <v/>
      </c>
      <c r="I44" s="17" t="str">
        <f aca="false">IF(D44&gt;0,F44/D44,"")</f>
        <v/>
      </c>
    </row>
    <row r="45" customFormat="false" ht="15" hidden="false" customHeight="false" outlineLevel="0" collapsed="false">
      <c r="A45" s="14"/>
      <c r="B45" s="16"/>
      <c r="C45" s="15"/>
      <c r="D45" s="15"/>
      <c r="E45" s="15"/>
      <c r="F45" s="15"/>
      <c r="G45" s="15"/>
      <c r="H45" s="17" t="str">
        <f aca="false">IF(D45&gt;0,E45/D45,"")</f>
        <v/>
      </c>
      <c r="I45" s="17" t="str">
        <f aca="false">IF(D45&gt;0,F45/D45,"")</f>
        <v/>
      </c>
    </row>
    <row r="46" customFormat="false" ht="15" hidden="false" customHeight="false" outlineLevel="0" collapsed="false">
      <c r="A46" s="14"/>
      <c r="B46" s="16"/>
      <c r="C46" s="15"/>
      <c r="D46" s="15"/>
      <c r="E46" s="15"/>
      <c r="F46" s="15"/>
      <c r="G46" s="15"/>
      <c r="H46" s="17" t="str">
        <f aca="false">IF(D46&gt;0,E46/D46,"")</f>
        <v/>
      </c>
      <c r="I46" s="17" t="str">
        <f aca="false">IF(D46&gt;0,F46/D46,"")</f>
        <v/>
      </c>
    </row>
    <row r="47" customFormat="false" ht="15" hidden="false" customHeight="false" outlineLevel="0" collapsed="false">
      <c r="A47" s="14"/>
      <c r="B47" s="16"/>
      <c r="C47" s="15"/>
      <c r="D47" s="15"/>
      <c r="E47" s="15"/>
      <c r="F47" s="15"/>
      <c r="G47" s="15"/>
      <c r="H47" s="17" t="str">
        <f aca="false">IF(D47&gt;0,E47/D47,"")</f>
        <v/>
      </c>
      <c r="I47" s="17" t="str">
        <f aca="false">IF(D47&gt;0,F47/D47,"")</f>
        <v/>
      </c>
    </row>
    <row r="48" customFormat="false" ht="15" hidden="false" customHeight="false" outlineLevel="0" collapsed="false">
      <c r="A48" s="14"/>
      <c r="B48" s="16"/>
      <c r="C48" s="15"/>
      <c r="D48" s="15"/>
      <c r="E48" s="15"/>
      <c r="F48" s="15"/>
      <c r="G48" s="15"/>
      <c r="H48" s="17" t="str">
        <f aca="false">IF(D48&gt;0,E48/D48,"")</f>
        <v/>
      </c>
      <c r="I48" s="17" t="str">
        <f aca="false">IF(D48&gt;0,F48/D48,"")</f>
        <v/>
      </c>
    </row>
    <row r="49" customFormat="false" ht="15" hidden="false" customHeight="false" outlineLevel="0" collapsed="false">
      <c r="A49" s="14"/>
      <c r="B49" s="16"/>
      <c r="C49" s="15"/>
      <c r="D49" s="15"/>
      <c r="E49" s="15"/>
      <c r="F49" s="15"/>
      <c r="G49" s="15"/>
      <c r="H49" s="17" t="str">
        <f aca="false">IF(D49&gt;0,E49/D49,"")</f>
        <v/>
      </c>
      <c r="I49" s="17" t="str">
        <f aca="false">IF(D49&gt;0,F49/D49,"")</f>
        <v/>
      </c>
    </row>
    <row r="50" customFormat="false" ht="15" hidden="false" customHeight="false" outlineLevel="0" collapsed="false">
      <c r="A50" s="14"/>
      <c r="B50" s="16"/>
      <c r="C50" s="15"/>
      <c r="D50" s="15"/>
      <c r="E50" s="15"/>
      <c r="F50" s="15"/>
      <c r="G50" s="15"/>
      <c r="H50" s="17" t="str">
        <f aca="false">IF(D50&gt;0,E50/D50,"")</f>
        <v/>
      </c>
      <c r="I50" s="17" t="str">
        <f aca="false">IF(D50&gt;0,F50/D50,"")</f>
        <v/>
      </c>
    </row>
    <row r="51" customFormat="false" ht="15" hidden="false" customHeight="false" outlineLevel="0" collapsed="false">
      <c r="A51" s="14"/>
      <c r="B51" s="16"/>
      <c r="C51" s="15"/>
      <c r="D51" s="15"/>
      <c r="E51" s="15"/>
      <c r="F51" s="15"/>
      <c r="G51" s="15"/>
      <c r="H51" s="17" t="str">
        <f aca="false">IF(D51&gt;0,E51/D51,"")</f>
        <v/>
      </c>
      <c r="I51" s="17" t="str">
        <f aca="false">IF(D51&gt;0,F51/D51,"")</f>
        <v/>
      </c>
    </row>
    <row r="52" customFormat="false" ht="15" hidden="false" customHeight="false" outlineLevel="0" collapsed="false">
      <c r="A52" s="14"/>
      <c r="B52" s="16"/>
      <c r="C52" s="15"/>
      <c r="D52" s="15"/>
      <c r="E52" s="15"/>
      <c r="F52" s="15"/>
      <c r="G52" s="15"/>
      <c r="H52" s="17" t="str">
        <f aca="false">IF(D52&gt;0,E52/D52,"")</f>
        <v/>
      </c>
      <c r="I52" s="17" t="str">
        <f aca="false">IF(D52&gt;0,F52/D52,"")</f>
        <v/>
      </c>
    </row>
    <row r="53" customFormat="false" ht="15" hidden="false" customHeight="false" outlineLevel="0" collapsed="false">
      <c r="A53" s="14"/>
      <c r="B53" s="16"/>
      <c r="C53" s="15"/>
      <c r="D53" s="15"/>
      <c r="E53" s="15"/>
      <c r="F53" s="15"/>
      <c r="G53" s="15"/>
      <c r="H53" s="17" t="str">
        <f aca="false">IF(D53&gt;0,E53/D53,"")</f>
        <v/>
      </c>
      <c r="I53" s="17" t="str">
        <f aca="false">IF(D53&gt;0,F53/D53,"")</f>
        <v/>
      </c>
    </row>
    <row r="54" customFormat="false" ht="15" hidden="false" customHeight="false" outlineLevel="0" collapsed="false">
      <c r="A54" s="14"/>
      <c r="B54" s="16"/>
      <c r="C54" s="15"/>
      <c r="D54" s="15"/>
      <c r="E54" s="15"/>
      <c r="F54" s="15"/>
      <c r="G54" s="15"/>
      <c r="H54" s="17" t="str">
        <f aca="false">IF(D54&gt;0,E54/D54,"")</f>
        <v/>
      </c>
      <c r="I54" s="17" t="str">
        <f aca="false">IF(D54&gt;0,F54/D54,"")</f>
        <v/>
      </c>
    </row>
    <row r="55" customFormat="false" ht="15" hidden="false" customHeight="false" outlineLevel="0" collapsed="false">
      <c r="A55" s="14"/>
      <c r="B55" s="16"/>
      <c r="C55" s="15"/>
      <c r="D55" s="15"/>
      <c r="E55" s="15"/>
      <c r="F55" s="15"/>
      <c r="G55" s="15"/>
      <c r="H55" s="17" t="str">
        <f aca="false">IF(D55&gt;0,E55/D55,"")</f>
        <v/>
      </c>
      <c r="I55" s="17" t="str">
        <f aca="false">IF(D55&gt;0,F55/D55,"")</f>
        <v/>
      </c>
    </row>
    <row r="56" customFormat="false" ht="15" hidden="false" customHeight="false" outlineLevel="0" collapsed="false">
      <c r="A56" s="14"/>
      <c r="B56" s="16"/>
      <c r="C56" s="15"/>
      <c r="D56" s="15"/>
      <c r="E56" s="15"/>
      <c r="F56" s="15"/>
      <c r="G56" s="15"/>
      <c r="H56" s="17" t="str">
        <f aca="false">IF(D56&gt;0,E56/D56,"")</f>
        <v/>
      </c>
      <c r="I56" s="17" t="str">
        <f aca="false">IF(D56&gt;0,F56/D56,"")</f>
        <v/>
      </c>
    </row>
    <row r="57" customFormat="false" ht="15" hidden="false" customHeight="false" outlineLevel="0" collapsed="false">
      <c r="A57" s="14"/>
      <c r="B57" s="16"/>
      <c r="C57" s="15"/>
      <c r="D57" s="15"/>
      <c r="E57" s="15"/>
      <c r="F57" s="15"/>
      <c r="G57" s="15"/>
      <c r="H57" s="17" t="str">
        <f aca="false">IF(D57&gt;0,E57/D57,"")</f>
        <v/>
      </c>
      <c r="I57" s="17" t="str">
        <f aca="false">IF(D57&gt;0,F57/D57,"")</f>
        <v/>
      </c>
    </row>
    <row r="58" customFormat="false" ht="15" hidden="false" customHeight="false" outlineLevel="0" collapsed="false">
      <c r="A58" s="14"/>
      <c r="B58" s="16"/>
      <c r="C58" s="15"/>
      <c r="D58" s="15"/>
      <c r="E58" s="15"/>
      <c r="F58" s="15"/>
      <c r="G58" s="15"/>
      <c r="H58" s="17" t="str">
        <f aca="false">IF(D58&gt;0,E58/D58,"")</f>
        <v/>
      </c>
      <c r="I58" s="17" t="str">
        <f aca="false">IF(D58&gt;0,F58/D58,"")</f>
        <v/>
      </c>
    </row>
    <row r="59" customFormat="false" ht="15" hidden="false" customHeight="false" outlineLevel="0" collapsed="false">
      <c r="A59" s="14"/>
      <c r="B59" s="16"/>
      <c r="C59" s="15"/>
      <c r="D59" s="15"/>
      <c r="E59" s="15"/>
      <c r="F59" s="15"/>
      <c r="G59" s="15"/>
      <c r="H59" s="17" t="str">
        <f aca="false">IF(D59&gt;0,E59/D59,"")</f>
        <v/>
      </c>
      <c r="I59" s="17" t="str">
        <f aca="false">IF(D59&gt;0,F59/D59,"")</f>
        <v/>
      </c>
    </row>
    <row r="60" customFormat="false" ht="15" hidden="false" customHeight="false" outlineLevel="0" collapsed="false">
      <c r="A60" s="14"/>
      <c r="B60" s="16"/>
      <c r="C60" s="15"/>
      <c r="D60" s="15"/>
      <c r="E60" s="15"/>
      <c r="F60" s="15"/>
      <c r="G60" s="15"/>
      <c r="H60" s="17" t="str">
        <f aca="false">IF(D60&gt;0,E60/D60,"")</f>
        <v/>
      </c>
      <c r="I60" s="17" t="str">
        <f aca="false">IF(D60&gt;0,F60/D60,"")</f>
        <v/>
      </c>
    </row>
    <row r="61" customFormat="false" ht="15" hidden="false" customHeight="false" outlineLevel="0" collapsed="false">
      <c r="A61" s="14"/>
      <c r="B61" s="16"/>
      <c r="C61" s="15"/>
      <c r="D61" s="15"/>
      <c r="E61" s="15"/>
      <c r="F61" s="15"/>
      <c r="G61" s="15"/>
      <c r="H61" s="17" t="str">
        <f aca="false">IF(D61&gt;0,E61/D61,"")</f>
        <v/>
      </c>
      <c r="I61" s="17" t="str">
        <f aca="false">IF(D61&gt;0,F61/D61,"")</f>
        <v/>
      </c>
    </row>
    <row r="62" customFormat="false" ht="15" hidden="false" customHeight="false" outlineLevel="0" collapsed="false">
      <c r="A62" s="14"/>
      <c r="B62" s="16"/>
      <c r="C62" s="15"/>
      <c r="D62" s="15"/>
      <c r="E62" s="15"/>
      <c r="F62" s="15"/>
      <c r="G62" s="15"/>
      <c r="H62" s="17" t="str">
        <f aca="false">IF(D62&gt;0,E62/D62,"")</f>
        <v/>
      </c>
      <c r="I62" s="17" t="str">
        <f aca="false">IF(D62&gt;0,F62/D62,"")</f>
        <v/>
      </c>
    </row>
    <row r="63" customFormat="false" ht="15" hidden="false" customHeight="false" outlineLevel="0" collapsed="false">
      <c r="A63" s="14"/>
      <c r="B63" s="16"/>
      <c r="C63" s="15"/>
      <c r="D63" s="15"/>
      <c r="E63" s="15"/>
      <c r="F63" s="15"/>
      <c r="G63" s="15"/>
      <c r="H63" s="17" t="str">
        <f aca="false">IF(D63&gt;0,E63/D63,"")</f>
        <v/>
      </c>
      <c r="I63" s="17" t="str">
        <f aca="false">IF(D63&gt;0,F63/D63,"")</f>
        <v/>
      </c>
    </row>
    <row r="64" customFormat="false" ht="15" hidden="false" customHeight="false" outlineLevel="0" collapsed="false">
      <c r="A64" s="14"/>
      <c r="B64" s="16"/>
      <c r="C64" s="15"/>
      <c r="D64" s="15"/>
      <c r="E64" s="15"/>
      <c r="F64" s="15"/>
      <c r="G64" s="15"/>
      <c r="H64" s="17" t="str">
        <f aca="false">IF(D64&gt;0,E64/D64,"")</f>
        <v/>
      </c>
      <c r="I64" s="17" t="str">
        <f aca="false">IF(D64&gt;0,F64/D64,"")</f>
        <v/>
      </c>
    </row>
    <row r="65" customFormat="false" ht="15" hidden="false" customHeight="false" outlineLevel="0" collapsed="false">
      <c r="A65" s="14"/>
      <c r="B65" s="16"/>
      <c r="C65" s="15"/>
      <c r="D65" s="15"/>
      <c r="E65" s="15"/>
      <c r="F65" s="15"/>
      <c r="G65" s="15"/>
      <c r="H65" s="17" t="str">
        <f aca="false">IF(D65&gt;0,E65/D65,"")</f>
        <v/>
      </c>
      <c r="I65" s="17" t="str">
        <f aca="false">IF(D65&gt;0,F65/D65,"")</f>
        <v/>
      </c>
    </row>
    <row r="66" customFormat="false" ht="15" hidden="false" customHeight="false" outlineLevel="0" collapsed="false">
      <c r="A66" s="14"/>
      <c r="B66" s="16"/>
      <c r="C66" s="15"/>
      <c r="D66" s="15"/>
      <c r="E66" s="15"/>
      <c r="F66" s="15"/>
      <c r="G66" s="15"/>
      <c r="H66" s="17" t="str">
        <f aca="false">IF(D66&gt;0,E66/D66,"")</f>
        <v/>
      </c>
      <c r="I66" s="17" t="str">
        <f aca="false">IF(D66&gt;0,F66/D66,"")</f>
        <v/>
      </c>
    </row>
    <row r="67" customFormat="false" ht="15" hidden="false" customHeight="false" outlineLevel="0" collapsed="false">
      <c r="A67" s="14"/>
      <c r="B67" s="16"/>
      <c r="C67" s="15"/>
      <c r="D67" s="15"/>
      <c r="E67" s="15"/>
      <c r="F67" s="15"/>
      <c r="G67" s="15"/>
      <c r="H67" s="17" t="str">
        <f aca="false">IF(D67&gt;0,E67/D67,"")</f>
        <v/>
      </c>
      <c r="I67" s="17" t="str">
        <f aca="false">IF(D67&gt;0,F67/D67,"")</f>
        <v/>
      </c>
    </row>
    <row r="68" customFormat="false" ht="15" hidden="false" customHeight="false" outlineLevel="0" collapsed="false">
      <c r="A68" s="14"/>
      <c r="B68" s="16"/>
      <c r="C68" s="15"/>
      <c r="D68" s="15"/>
      <c r="E68" s="15"/>
      <c r="F68" s="15"/>
      <c r="G68" s="15"/>
      <c r="H68" s="17" t="str">
        <f aca="false">IF(D68&gt;0,E68/D68,"")</f>
        <v/>
      </c>
      <c r="I68" s="17" t="str">
        <f aca="false">IF(D68&gt;0,F68/D68,"")</f>
        <v/>
      </c>
    </row>
    <row r="69" customFormat="false" ht="15" hidden="false" customHeight="false" outlineLevel="0" collapsed="false">
      <c r="A69" s="14"/>
      <c r="B69" s="16"/>
      <c r="C69" s="15"/>
      <c r="D69" s="15"/>
      <c r="E69" s="15"/>
      <c r="F69" s="15"/>
      <c r="G69" s="15"/>
      <c r="H69" s="17" t="str">
        <f aca="false">IF(D69&gt;0,E69/D69,"")</f>
        <v/>
      </c>
      <c r="I69" s="17" t="str">
        <f aca="false">IF(D69&gt;0,F69/D69,"")</f>
        <v/>
      </c>
    </row>
    <row r="70" customFormat="false" ht="15" hidden="false" customHeight="false" outlineLevel="0" collapsed="false">
      <c r="A70" s="14"/>
      <c r="B70" s="16"/>
      <c r="C70" s="15"/>
      <c r="D70" s="15"/>
      <c r="E70" s="15"/>
      <c r="F70" s="15"/>
      <c r="G70" s="15"/>
      <c r="H70" s="17" t="str">
        <f aca="false">IF(D70&gt;0,E70/D70,"")</f>
        <v/>
      </c>
      <c r="I70" s="17" t="str">
        <f aca="false">IF(D70&gt;0,F70/D70,"")</f>
        <v/>
      </c>
    </row>
    <row r="71" customFormat="false" ht="15" hidden="false" customHeight="false" outlineLevel="0" collapsed="false">
      <c r="A71" s="14"/>
      <c r="B71" s="16"/>
      <c r="C71" s="15"/>
      <c r="D71" s="15"/>
      <c r="E71" s="15"/>
      <c r="F71" s="15"/>
      <c r="G71" s="15"/>
      <c r="H71" s="17" t="str">
        <f aca="false">IF(D71&gt;0,E71/D71,"")</f>
        <v/>
      </c>
      <c r="I71" s="17" t="str">
        <f aca="false">IF(D71&gt;0,F71/D71,"")</f>
        <v/>
      </c>
    </row>
    <row r="72" customFormat="false" ht="15" hidden="false" customHeight="false" outlineLevel="0" collapsed="false">
      <c r="A72" s="14"/>
      <c r="B72" s="16"/>
      <c r="C72" s="15"/>
      <c r="D72" s="15"/>
      <c r="E72" s="15"/>
      <c r="F72" s="15"/>
      <c r="G72" s="15"/>
      <c r="H72" s="17" t="str">
        <f aca="false">IF(D72&gt;0,E72/D72,"")</f>
        <v/>
      </c>
      <c r="I72" s="17" t="str">
        <f aca="false">IF(D72&gt;0,F72/D72,"")</f>
        <v/>
      </c>
    </row>
    <row r="73" customFormat="false" ht="15" hidden="false" customHeight="false" outlineLevel="0" collapsed="false">
      <c r="A73" s="14"/>
      <c r="B73" s="16"/>
      <c r="C73" s="15"/>
      <c r="D73" s="15"/>
      <c r="E73" s="15"/>
      <c r="F73" s="15"/>
      <c r="G73" s="15"/>
      <c r="H73" s="17" t="str">
        <f aca="false">IF(D73&gt;0,E73/D73,"")</f>
        <v/>
      </c>
      <c r="I73" s="17" t="str">
        <f aca="false">IF(D73&gt;0,F73/D73,"")</f>
        <v/>
      </c>
    </row>
    <row r="74" customFormat="false" ht="15" hidden="false" customHeight="false" outlineLevel="0" collapsed="false">
      <c r="A74" s="14"/>
      <c r="B74" s="16"/>
      <c r="C74" s="15"/>
      <c r="D74" s="15"/>
      <c r="E74" s="15"/>
      <c r="F74" s="15"/>
      <c r="G74" s="15"/>
      <c r="H74" s="17" t="str">
        <f aca="false">IF(D74&gt;0,E74/D74,"")</f>
        <v/>
      </c>
      <c r="I74" s="17" t="str">
        <f aca="false">IF(D74&gt;0,F74/D74,"")</f>
        <v/>
      </c>
    </row>
    <row r="75" customFormat="false" ht="15" hidden="false" customHeight="false" outlineLevel="0" collapsed="false">
      <c r="A75" s="14"/>
      <c r="B75" s="16"/>
      <c r="C75" s="15"/>
      <c r="D75" s="15"/>
      <c r="E75" s="15"/>
      <c r="F75" s="15"/>
      <c r="G75" s="15"/>
      <c r="H75" s="17" t="str">
        <f aca="false">IF(D75&gt;0,E75/D75,"")</f>
        <v/>
      </c>
      <c r="I75" s="17" t="str">
        <f aca="false">IF(D75&gt;0,F75/D75,"")</f>
        <v/>
      </c>
    </row>
    <row r="76" customFormat="false" ht="15" hidden="false" customHeight="false" outlineLevel="0" collapsed="false">
      <c r="A76" s="14"/>
      <c r="B76" s="16"/>
      <c r="C76" s="15"/>
      <c r="D76" s="15"/>
      <c r="E76" s="15"/>
      <c r="F76" s="15"/>
      <c r="G76" s="15"/>
      <c r="H76" s="17" t="str">
        <f aca="false">IF(D76&gt;0,E76/D76,"")</f>
        <v/>
      </c>
      <c r="I76" s="17" t="str">
        <f aca="false">IF(D76&gt;0,F76/D76,"")</f>
        <v/>
      </c>
    </row>
    <row r="77" customFormat="false" ht="15" hidden="false" customHeight="false" outlineLevel="0" collapsed="false">
      <c r="A77" s="14"/>
      <c r="B77" s="16"/>
      <c r="C77" s="15"/>
      <c r="D77" s="15"/>
      <c r="E77" s="15"/>
      <c r="F77" s="15"/>
      <c r="G77" s="15"/>
      <c r="H77" s="17" t="str">
        <f aca="false">IF(D77&gt;0,E77/D77,"")</f>
        <v/>
      </c>
      <c r="I77" s="17" t="str">
        <f aca="false">IF(D77&gt;0,F77/D77,"")</f>
        <v/>
      </c>
    </row>
    <row r="78" customFormat="false" ht="15" hidden="false" customHeight="false" outlineLevel="0" collapsed="false">
      <c r="A78" s="14"/>
      <c r="B78" s="16"/>
      <c r="C78" s="15"/>
      <c r="D78" s="15"/>
      <c r="E78" s="15"/>
      <c r="F78" s="15"/>
      <c r="G78" s="15"/>
      <c r="H78" s="17" t="str">
        <f aca="false">IF(D78&gt;0,E78/D78,"")</f>
        <v/>
      </c>
      <c r="I78" s="17" t="str">
        <f aca="false">IF(D78&gt;0,F78/D78,"")</f>
        <v/>
      </c>
    </row>
    <row r="79" customFormat="false" ht="15" hidden="false" customHeight="false" outlineLevel="0" collapsed="false">
      <c r="A79" s="14"/>
      <c r="B79" s="16"/>
      <c r="C79" s="15"/>
      <c r="D79" s="15"/>
      <c r="E79" s="15"/>
      <c r="F79" s="15"/>
      <c r="G79" s="15"/>
      <c r="H79" s="17" t="str">
        <f aca="false">IF(D79&gt;0,E79/D79,"")</f>
        <v/>
      </c>
      <c r="I79" s="17" t="str">
        <f aca="false">IF(D79&gt;0,F79/D79,"")</f>
        <v/>
      </c>
    </row>
    <row r="80" customFormat="false" ht="15" hidden="false" customHeight="false" outlineLevel="0" collapsed="false">
      <c r="A80" s="14"/>
      <c r="B80" s="16"/>
      <c r="C80" s="15"/>
      <c r="D80" s="15"/>
      <c r="E80" s="15"/>
      <c r="F80" s="15"/>
      <c r="G80" s="15"/>
      <c r="H80" s="17" t="str">
        <f aca="false">IF(D80&gt;0,E80/D80,"")</f>
        <v/>
      </c>
      <c r="I80" s="17" t="str">
        <f aca="false">IF(D80&gt;0,F80/D80,"")</f>
        <v/>
      </c>
    </row>
    <row r="81" customFormat="false" ht="15" hidden="false" customHeight="false" outlineLevel="0" collapsed="false">
      <c r="A81" s="14"/>
      <c r="B81" s="16"/>
      <c r="C81" s="15"/>
      <c r="D81" s="15"/>
      <c r="E81" s="15"/>
      <c r="F81" s="15"/>
      <c r="G81" s="15"/>
      <c r="H81" s="17" t="str">
        <f aca="false">IF(D81&gt;0,E81/D81,"")</f>
        <v/>
      </c>
      <c r="I81" s="17" t="str">
        <f aca="false">IF(D81&gt;0,F81/D81,"")</f>
        <v/>
      </c>
    </row>
    <row r="82" customFormat="false" ht="15" hidden="false" customHeight="false" outlineLevel="0" collapsed="false">
      <c r="A82" s="14"/>
      <c r="B82" s="16"/>
      <c r="C82" s="15"/>
      <c r="D82" s="15"/>
      <c r="E82" s="15"/>
      <c r="F82" s="15"/>
      <c r="G82" s="15"/>
      <c r="H82" s="17" t="str">
        <f aca="false">IF(D82&gt;0,E82/D82,"")</f>
        <v/>
      </c>
      <c r="I82" s="17" t="str">
        <f aca="false">IF(D82&gt;0,F82/D82,"")</f>
        <v/>
      </c>
    </row>
    <row r="83" customFormat="false" ht="15" hidden="false" customHeight="false" outlineLevel="0" collapsed="false">
      <c r="A83" s="14"/>
      <c r="B83" s="16"/>
      <c r="C83" s="15"/>
      <c r="D83" s="15"/>
      <c r="E83" s="15"/>
      <c r="F83" s="15"/>
      <c r="G83" s="15"/>
      <c r="H83" s="17" t="str">
        <f aca="false">IF(D83&gt;0,E83/D83,"")</f>
        <v/>
      </c>
      <c r="I83" s="17" t="str">
        <f aca="false">IF(D83&gt;0,F83/D83,"")</f>
        <v/>
      </c>
    </row>
    <row r="84" customFormat="false" ht="15" hidden="false" customHeight="false" outlineLevel="0" collapsed="false">
      <c r="A84" s="14"/>
      <c r="B84" s="16"/>
      <c r="C84" s="15"/>
      <c r="D84" s="15"/>
      <c r="E84" s="15"/>
      <c r="F84" s="15"/>
      <c r="G84" s="15"/>
      <c r="H84" s="17" t="str">
        <f aca="false">IF(D84&gt;0,E84/D84,"")</f>
        <v/>
      </c>
      <c r="I84" s="17" t="str">
        <f aca="false">IF(D84&gt;0,F84/D84,"")</f>
        <v/>
      </c>
    </row>
    <row r="85" customFormat="false" ht="15" hidden="false" customHeight="false" outlineLevel="0" collapsed="false">
      <c r="A85" s="14"/>
      <c r="B85" s="16"/>
      <c r="C85" s="15"/>
      <c r="D85" s="15"/>
      <c r="E85" s="15"/>
      <c r="F85" s="15"/>
      <c r="G85" s="15"/>
      <c r="H85" s="17" t="str">
        <f aca="false">IF(D85&gt;0,E85/D85,"")</f>
        <v/>
      </c>
      <c r="I85" s="17" t="str">
        <f aca="false">IF(D85&gt;0,F85/D85,"")</f>
        <v/>
      </c>
    </row>
    <row r="86" customFormat="false" ht="15" hidden="false" customHeight="false" outlineLevel="0" collapsed="false">
      <c r="A86" s="14"/>
      <c r="B86" s="16"/>
      <c r="C86" s="15"/>
      <c r="D86" s="15"/>
      <c r="E86" s="15"/>
      <c r="F86" s="15"/>
      <c r="G86" s="15"/>
      <c r="H86" s="17" t="str">
        <f aca="false">IF(D86&gt;0,E86/D86,"")</f>
        <v/>
      </c>
      <c r="I86" s="17" t="str">
        <f aca="false">IF(D86&gt;0,F86/D86,"")</f>
        <v/>
      </c>
    </row>
    <row r="87" customFormat="false" ht="15" hidden="false" customHeight="false" outlineLevel="0" collapsed="false">
      <c r="A87" s="14"/>
      <c r="B87" s="16"/>
      <c r="C87" s="15"/>
      <c r="D87" s="15"/>
      <c r="E87" s="15"/>
      <c r="F87" s="15"/>
      <c r="G87" s="15"/>
      <c r="H87" s="17" t="str">
        <f aca="false">IF(D87&gt;0,E87/D87,"")</f>
        <v/>
      </c>
      <c r="I87" s="17" t="str">
        <f aca="false">IF(D87&gt;0,F87/D87,"")</f>
        <v/>
      </c>
    </row>
    <row r="88" customFormat="false" ht="15" hidden="false" customHeight="false" outlineLevel="0" collapsed="false">
      <c r="A88" s="14"/>
      <c r="B88" s="16"/>
      <c r="C88" s="15"/>
      <c r="D88" s="15"/>
      <c r="E88" s="15"/>
      <c r="F88" s="15"/>
      <c r="G88" s="15"/>
      <c r="H88" s="17" t="str">
        <f aca="false">IF(D88&gt;0,E88/D88,"")</f>
        <v/>
      </c>
      <c r="I88" s="17" t="str">
        <f aca="false">IF(D88&gt;0,F88/D88,"")</f>
        <v/>
      </c>
    </row>
    <row r="89" customFormat="false" ht="15" hidden="false" customHeight="false" outlineLevel="0" collapsed="false">
      <c r="A89" s="14"/>
      <c r="B89" s="16"/>
      <c r="C89" s="15"/>
      <c r="D89" s="15"/>
      <c r="E89" s="15"/>
      <c r="F89" s="15"/>
      <c r="G89" s="15"/>
      <c r="H89" s="17" t="str">
        <f aca="false">IF(D89&gt;0,E89/D89,"")</f>
        <v/>
      </c>
      <c r="I89" s="17" t="str">
        <f aca="false">IF(D89&gt;0,F89/D89,"")</f>
        <v/>
      </c>
    </row>
    <row r="90" customFormat="false" ht="15" hidden="false" customHeight="false" outlineLevel="0" collapsed="false">
      <c r="A90" s="14"/>
      <c r="B90" s="16"/>
      <c r="C90" s="15"/>
      <c r="D90" s="15"/>
      <c r="E90" s="15"/>
      <c r="F90" s="15"/>
      <c r="G90" s="15"/>
      <c r="H90" s="17" t="str">
        <f aca="false">IF(D90&gt;0,E90/D90,"")</f>
        <v/>
      </c>
      <c r="I90" s="17" t="str">
        <f aca="false">IF(D90&gt;0,F90/D90,"")</f>
        <v/>
      </c>
    </row>
    <row r="91" customFormat="false" ht="15" hidden="false" customHeight="false" outlineLevel="0" collapsed="false">
      <c r="A91" s="14"/>
      <c r="B91" s="16"/>
      <c r="C91" s="15"/>
      <c r="D91" s="15"/>
      <c r="E91" s="15"/>
      <c r="F91" s="15"/>
      <c r="G91" s="15"/>
      <c r="H91" s="17" t="str">
        <f aca="false">IF(D91&gt;0,E91/D91,"")</f>
        <v/>
      </c>
      <c r="I91" s="17" t="str">
        <f aca="false">IF(D91&gt;0,F91/D91,"")</f>
        <v/>
      </c>
    </row>
    <row r="92" customFormat="false" ht="15" hidden="false" customHeight="false" outlineLevel="0" collapsed="false">
      <c r="A92" s="14"/>
      <c r="B92" s="16"/>
      <c r="C92" s="15"/>
      <c r="D92" s="15"/>
      <c r="E92" s="15"/>
      <c r="F92" s="15"/>
      <c r="G92" s="15"/>
      <c r="H92" s="17" t="str">
        <f aca="false">IF(D92&gt;0,E92/D92,"")</f>
        <v/>
      </c>
      <c r="I92" s="17" t="str">
        <f aca="false">IF(D92&gt;0,F92/D92,"")</f>
        <v/>
      </c>
    </row>
    <row r="93" customFormat="false" ht="15" hidden="false" customHeight="false" outlineLevel="0" collapsed="false">
      <c r="A93" s="14"/>
      <c r="B93" s="16"/>
      <c r="C93" s="15"/>
      <c r="D93" s="15"/>
      <c r="E93" s="15"/>
      <c r="F93" s="15"/>
      <c r="G93" s="15"/>
      <c r="H93" s="17" t="str">
        <f aca="false">IF(D93&gt;0,E93/D93,"")</f>
        <v/>
      </c>
      <c r="I93" s="17" t="str">
        <f aca="false">IF(D93&gt;0,F93/D93,"")</f>
        <v/>
      </c>
    </row>
    <row r="94" customFormat="false" ht="15" hidden="false" customHeight="false" outlineLevel="0" collapsed="false">
      <c r="A94" s="14"/>
      <c r="B94" s="16"/>
      <c r="C94" s="15"/>
      <c r="D94" s="15"/>
      <c r="E94" s="15"/>
      <c r="F94" s="15"/>
      <c r="G94" s="15"/>
      <c r="H94" s="17" t="str">
        <f aca="false">IF(D94&gt;0,E94/D94,"")</f>
        <v/>
      </c>
      <c r="I94" s="17" t="str">
        <f aca="false">IF(D94&gt;0,F94/D94,"")</f>
        <v/>
      </c>
    </row>
    <row r="95" customFormat="false" ht="15" hidden="false" customHeight="false" outlineLevel="0" collapsed="false">
      <c r="A95" s="14"/>
      <c r="B95" s="16"/>
      <c r="C95" s="15"/>
      <c r="D95" s="15"/>
      <c r="E95" s="15"/>
      <c r="F95" s="15"/>
      <c r="G95" s="15"/>
      <c r="H95" s="17" t="str">
        <f aca="false">IF(D95&gt;0,E95/D95,"")</f>
        <v/>
      </c>
      <c r="I95" s="17" t="str">
        <f aca="false">IF(D95&gt;0,F95/D95,"")</f>
        <v/>
      </c>
    </row>
    <row r="96" customFormat="false" ht="15" hidden="false" customHeight="false" outlineLevel="0" collapsed="false">
      <c r="A96" s="14"/>
      <c r="B96" s="16"/>
      <c r="C96" s="15"/>
      <c r="D96" s="15"/>
      <c r="E96" s="15"/>
      <c r="F96" s="15"/>
      <c r="G96" s="15"/>
      <c r="H96" s="17" t="str">
        <f aca="false">IF(D96&gt;0,E96/D96,"")</f>
        <v/>
      </c>
      <c r="I96" s="17" t="str">
        <f aca="false">IF(D96&gt;0,F96/D96,"")</f>
        <v/>
      </c>
    </row>
    <row r="97" customFormat="false" ht="15" hidden="false" customHeight="false" outlineLevel="0" collapsed="false">
      <c r="A97" s="14"/>
      <c r="B97" s="16"/>
      <c r="C97" s="15"/>
      <c r="D97" s="15"/>
      <c r="E97" s="15"/>
      <c r="F97" s="15"/>
      <c r="G97" s="15"/>
      <c r="H97" s="17" t="str">
        <f aca="false">IF(D97&gt;0,E97/D97,"")</f>
        <v/>
      </c>
      <c r="I97" s="17" t="str">
        <f aca="false">IF(D97&gt;0,F97/D97,"")</f>
        <v/>
      </c>
    </row>
    <row r="98" customFormat="false" ht="15" hidden="false" customHeight="false" outlineLevel="0" collapsed="false">
      <c r="A98" s="14"/>
      <c r="B98" s="16"/>
      <c r="C98" s="15"/>
      <c r="D98" s="15"/>
      <c r="E98" s="15"/>
      <c r="F98" s="15"/>
      <c r="G98" s="15"/>
      <c r="H98" s="17" t="str">
        <f aca="false">IF(D98&gt;0,E98/D98,"")</f>
        <v/>
      </c>
      <c r="I98" s="17" t="str">
        <f aca="false">IF(D98&gt;0,F98/D98,"")</f>
        <v/>
      </c>
    </row>
    <row r="99" customFormat="false" ht="15" hidden="false" customHeight="false" outlineLevel="0" collapsed="false">
      <c r="A99" s="14"/>
      <c r="B99" s="16"/>
      <c r="C99" s="15"/>
      <c r="D99" s="15"/>
      <c r="E99" s="15"/>
      <c r="F99" s="15"/>
      <c r="G99" s="15"/>
      <c r="H99" s="17" t="str">
        <f aca="false">IF(D99&gt;0,E99/D99,"")</f>
        <v/>
      </c>
      <c r="I99" s="17" t="str">
        <f aca="false">IF(D99&gt;0,F99/D99,"")</f>
        <v/>
      </c>
    </row>
    <row r="100" customFormat="false" ht="15" hidden="false" customHeight="false" outlineLevel="0" collapsed="false">
      <c r="A100" s="14"/>
      <c r="B100" s="16"/>
      <c r="C100" s="15"/>
      <c r="D100" s="15"/>
      <c r="E100" s="15"/>
      <c r="F100" s="15"/>
      <c r="G100" s="15"/>
      <c r="H100" s="17" t="str">
        <f aca="false">IF(D100&gt;0,E100/D100,"")</f>
        <v/>
      </c>
      <c r="I100" s="17" t="str">
        <f aca="false">IF(D100&gt;0,F100/D100,"")</f>
        <v/>
      </c>
    </row>
    <row r="101" customFormat="false" ht="15" hidden="false" customHeight="false" outlineLevel="0" collapsed="false">
      <c r="A101" s="14"/>
      <c r="B101" s="16"/>
      <c r="C101" s="15"/>
      <c r="D101" s="15"/>
      <c r="E101" s="15"/>
      <c r="F101" s="15"/>
      <c r="G101" s="15"/>
      <c r="H101" s="17" t="str">
        <f aca="false">IF(D101&gt;0,E101/D101,"")</f>
        <v/>
      </c>
      <c r="I101" s="17" t="str">
        <f aca="false">IF(D101&gt;0,F101/D101,"")</f>
        <v/>
      </c>
    </row>
    <row r="102" customFormat="false" ht="15" hidden="false" customHeight="false" outlineLevel="0" collapsed="false">
      <c r="A102" s="14"/>
      <c r="B102" s="16"/>
      <c r="C102" s="15"/>
      <c r="D102" s="15"/>
      <c r="E102" s="15"/>
      <c r="F102" s="15"/>
      <c r="G102" s="15"/>
      <c r="H102" s="17" t="str">
        <f aca="false">IF(D102&gt;0,E102/D102,"")</f>
        <v/>
      </c>
      <c r="I102" s="17" t="str">
        <f aca="false">IF(D102&gt;0,F102/D102,"")</f>
        <v/>
      </c>
    </row>
    <row r="103" customFormat="false" ht="15" hidden="false" customHeight="false" outlineLevel="0" collapsed="false">
      <c r="A103" s="14"/>
      <c r="B103" s="16"/>
      <c r="C103" s="15"/>
      <c r="D103" s="15"/>
      <c r="E103" s="15"/>
      <c r="F103" s="15"/>
      <c r="G103" s="15"/>
      <c r="H103" s="17" t="str">
        <f aca="false">IF(D103&gt;0,E103/D103,"")</f>
        <v/>
      </c>
      <c r="I103" s="17" t="str">
        <f aca="false">IF(D103&gt;0,F103/D103,"")</f>
        <v/>
      </c>
    </row>
    <row r="104" customFormat="false" ht="15" hidden="false" customHeight="false" outlineLevel="0" collapsed="false">
      <c r="A104" s="14"/>
      <c r="B104" s="16"/>
      <c r="C104" s="15"/>
      <c r="D104" s="15"/>
      <c r="E104" s="15"/>
      <c r="F104" s="15"/>
      <c r="G104" s="15"/>
      <c r="H104" s="17" t="str">
        <f aca="false">IF(D104&gt;0,E104/D104,"")</f>
        <v/>
      </c>
      <c r="I104" s="17" t="str">
        <f aca="false">IF(D104&gt;0,F104/D104,"")</f>
        <v/>
      </c>
    </row>
  </sheetData>
  <dataValidations count="1">
    <dataValidation allowBlank="true" errorStyle="stop" operator="between" showDropDown="false" showErrorMessage="false" showInputMessage="false" sqref="B5:B104" type="list">
      <formula1>"Facebook,Instagram,X,LinkedIn,YouTube"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3"/>
    <col collapsed="false" customWidth="true" hidden="false" outlineLevel="0" max="8" min="8" style="0" width="18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3" min="12" style="0" width="16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7" t="s">
        <v>62</v>
      </c>
      <c r="H2" s="23" t="s">
        <v>63</v>
      </c>
    </row>
    <row r="3" customFormat="false" ht="31.5" hidden="false" customHeight="true" outlineLevel="0" collapsed="false">
      <c r="A3" s="8" t="s">
        <v>38</v>
      </c>
      <c r="B3" s="8" t="s">
        <v>64</v>
      </c>
      <c r="C3" s="8" t="s">
        <v>53</v>
      </c>
      <c r="D3" s="8" t="s">
        <v>65</v>
      </c>
      <c r="E3" s="8" t="s">
        <v>66</v>
      </c>
      <c r="F3" s="8" t="s">
        <v>67</v>
      </c>
      <c r="H3" s="8" t="s">
        <v>64</v>
      </c>
      <c r="I3" s="8" t="s">
        <v>53</v>
      </c>
      <c r="J3" s="8" t="s">
        <v>65</v>
      </c>
      <c r="K3" s="8" t="s">
        <v>66</v>
      </c>
      <c r="L3" s="8" t="s">
        <v>67</v>
      </c>
      <c r="M3" s="8" t="s">
        <v>68</v>
      </c>
    </row>
    <row r="4" customFormat="false" ht="15" hidden="false" customHeight="false" outlineLevel="0" collapsed="false">
      <c r="A4" s="9" t="n">
        <v>46314</v>
      </c>
      <c r="B4" s="11" t="s">
        <v>69</v>
      </c>
      <c r="C4" s="10" t="n">
        <v>2</v>
      </c>
      <c r="D4" s="10" t="n">
        <v>180</v>
      </c>
      <c r="E4" s="10" t="n">
        <v>4</v>
      </c>
      <c r="F4" s="26" t="n">
        <f aca="false">IF(C4&gt;0,E4/C4,"")</f>
        <v>2</v>
      </c>
      <c r="H4" s="24" t="s">
        <v>70</v>
      </c>
      <c r="I4" s="25" t="n">
        <f aca="false">SUMIFS($C$5:$C$84,$B$5:$B$84,$H4)</f>
        <v>0</v>
      </c>
      <c r="J4" s="25" t="n">
        <f aca="false">SUMIFS($D$5:$D$84,$B$5:$B$84,$H4)</f>
        <v>0</v>
      </c>
      <c r="K4" s="25" t="n">
        <f aca="false">SUMIFS($E$5:$E$84,$B$5:$B$84,$H4)</f>
        <v>0</v>
      </c>
      <c r="L4" s="27" t="str">
        <f aca="false">IF(I4&gt;0,K4/I4,"")</f>
        <v/>
      </c>
      <c r="M4" s="24" t="str">
        <f aca="false">IF(I4&gt;=3,"Yes","Need 3+ posts")</f>
        <v>Need 3+ posts</v>
      </c>
    </row>
    <row r="5" customFormat="false" ht="15" hidden="false" customHeight="false" outlineLevel="0" collapsed="false">
      <c r="A5" s="14"/>
      <c r="B5" s="16"/>
      <c r="C5" s="15"/>
      <c r="D5" s="15"/>
      <c r="E5" s="15"/>
      <c r="F5" s="27" t="str">
        <f aca="false">IF(C5&gt;0,E5/C5,"")</f>
        <v/>
      </c>
      <c r="H5" s="24" t="s">
        <v>71</v>
      </c>
      <c r="I5" s="25" t="n">
        <f aca="false">SUMIFS($C$5:$C$84,$B$5:$B$84,$H5)</f>
        <v>0</v>
      </c>
      <c r="J5" s="25" t="n">
        <f aca="false">SUMIFS($D$5:$D$84,$B$5:$B$84,$H5)</f>
        <v>0</v>
      </c>
      <c r="K5" s="25" t="n">
        <f aca="false">SUMIFS($E$5:$E$84,$B$5:$B$84,$H5)</f>
        <v>0</v>
      </c>
      <c r="L5" s="27" t="str">
        <f aca="false">IF(I5&gt;0,K5/I5,"")</f>
        <v/>
      </c>
      <c r="M5" s="24" t="str">
        <f aca="false">IF(I5&gt;=3,"Yes","Need 3+ posts")</f>
        <v>Need 3+ posts</v>
      </c>
    </row>
    <row r="6" customFormat="false" ht="15" hidden="false" customHeight="false" outlineLevel="0" collapsed="false">
      <c r="A6" s="14"/>
      <c r="B6" s="16"/>
      <c r="C6" s="15"/>
      <c r="D6" s="15"/>
      <c r="E6" s="15"/>
      <c r="F6" s="27" t="str">
        <f aca="false">IF(C6&gt;0,E6/C6,"")</f>
        <v/>
      </c>
      <c r="H6" s="24" t="s">
        <v>72</v>
      </c>
      <c r="I6" s="25" t="n">
        <f aca="false">SUMIFS($C$5:$C$84,$B$5:$B$84,$H6)</f>
        <v>0</v>
      </c>
      <c r="J6" s="25" t="n">
        <f aca="false">SUMIFS($D$5:$D$84,$B$5:$B$84,$H6)</f>
        <v>0</v>
      </c>
      <c r="K6" s="25" t="n">
        <f aca="false">SUMIFS($E$5:$E$84,$B$5:$B$84,$H6)</f>
        <v>0</v>
      </c>
      <c r="L6" s="27" t="str">
        <f aca="false">IF(I6&gt;0,K6/I6,"")</f>
        <v/>
      </c>
      <c r="M6" s="24" t="str">
        <f aca="false">IF(I6&gt;=3,"Yes","Need 3+ posts")</f>
        <v>Need 3+ posts</v>
      </c>
    </row>
    <row r="7" customFormat="false" ht="15" hidden="false" customHeight="false" outlineLevel="0" collapsed="false">
      <c r="A7" s="14"/>
      <c r="B7" s="16"/>
      <c r="C7" s="15"/>
      <c r="D7" s="15"/>
      <c r="E7" s="15"/>
      <c r="F7" s="27" t="str">
        <f aca="false">IF(C7&gt;0,E7/C7,"")</f>
        <v/>
      </c>
      <c r="H7" s="24" t="s">
        <v>69</v>
      </c>
      <c r="I7" s="25" t="n">
        <f aca="false">SUMIFS($C$5:$C$84,$B$5:$B$84,$H7)</f>
        <v>0</v>
      </c>
      <c r="J7" s="25" t="n">
        <f aca="false">SUMIFS($D$5:$D$84,$B$5:$B$84,$H7)</f>
        <v>0</v>
      </c>
      <c r="K7" s="25" t="n">
        <f aca="false">SUMIFS($E$5:$E$84,$B$5:$B$84,$H7)</f>
        <v>0</v>
      </c>
      <c r="L7" s="27" t="str">
        <f aca="false">IF(I7&gt;0,K7/I7,"")</f>
        <v/>
      </c>
      <c r="M7" s="24" t="str">
        <f aca="false">IF(I7&gt;=3,"Yes","Need 3+ posts")</f>
        <v>Need 3+ posts</v>
      </c>
    </row>
    <row r="8" customFormat="false" ht="15" hidden="false" customHeight="false" outlineLevel="0" collapsed="false">
      <c r="A8" s="14"/>
      <c r="B8" s="16"/>
      <c r="C8" s="15"/>
      <c r="D8" s="15"/>
      <c r="E8" s="15"/>
      <c r="F8" s="27" t="str">
        <f aca="false">IF(C8&gt;0,E8/C8,"")</f>
        <v/>
      </c>
      <c r="H8" s="24" t="s">
        <v>73</v>
      </c>
      <c r="I8" s="25" t="n">
        <f aca="false">SUMIFS($C$5:$C$84,$B$5:$B$84,$H8)</f>
        <v>0</v>
      </c>
      <c r="J8" s="25" t="n">
        <f aca="false">SUMIFS($D$5:$D$84,$B$5:$B$84,$H8)</f>
        <v>0</v>
      </c>
      <c r="K8" s="25" t="n">
        <f aca="false">SUMIFS($E$5:$E$84,$B$5:$B$84,$H8)</f>
        <v>0</v>
      </c>
      <c r="L8" s="27" t="str">
        <f aca="false">IF(I8&gt;0,K8/I8,"")</f>
        <v/>
      </c>
      <c r="M8" s="24" t="str">
        <f aca="false">IF(I8&gt;=3,"Yes","Need 3+ posts")</f>
        <v>Need 3+ posts</v>
      </c>
    </row>
    <row r="9" customFormat="false" ht="15" hidden="false" customHeight="false" outlineLevel="0" collapsed="false">
      <c r="A9" s="14"/>
      <c r="B9" s="16"/>
      <c r="C9" s="15"/>
      <c r="D9" s="15"/>
      <c r="E9" s="15"/>
      <c r="F9" s="27" t="str">
        <f aca="false">IF(C9&gt;0,E9/C9,"")</f>
        <v/>
      </c>
      <c r="H9" s="19" t="s">
        <v>60</v>
      </c>
      <c r="I9" s="20" t="n">
        <f aca="false">SUM(I4:I8)</f>
        <v>0</v>
      </c>
      <c r="J9" s="20" t="n">
        <f aca="false">SUM(J4:J8)</f>
        <v>0</v>
      </c>
      <c r="K9" s="20" t="n">
        <f aca="false">SUM(K4:K8)</f>
        <v>0</v>
      </c>
      <c r="L9" s="28" t="str">
        <f aca="false">IF(I9&gt;0,K9/I9,"")</f>
        <v/>
      </c>
      <c r="M9" s="19"/>
    </row>
    <row r="10" customFormat="false" ht="15" hidden="false" customHeight="false" outlineLevel="0" collapsed="false">
      <c r="A10" s="14"/>
      <c r="B10" s="16"/>
      <c r="C10" s="15"/>
      <c r="D10" s="15"/>
      <c r="E10" s="15"/>
      <c r="F10" s="27" t="str">
        <f aca="false">IF(C10&gt;0,E10/C10,"")</f>
        <v/>
      </c>
    </row>
    <row r="11" customFormat="false" ht="15" hidden="false" customHeight="false" outlineLevel="0" collapsed="false">
      <c r="A11" s="14"/>
      <c r="B11" s="16"/>
      <c r="C11" s="15"/>
      <c r="D11" s="15"/>
      <c r="E11" s="15"/>
      <c r="F11" s="27" t="str">
        <f aca="false">IF(C11&gt;0,E11/C11,"")</f>
        <v/>
      </c>
      <c r="H11" s="7" t="s">
        <v>74</v>
      </c>
    </row>
    <row r="12" customFormat="false" ht="15" hidden="false" customHeight="false" outlineLevel="0" collapsed="false">
      <c r="A12" s="14"/>
      <c r="B12" s="16"/>
      <c r="C12" s="15"/>
      <c r="D12" s="15"/>
      <c r="E12" s="15"/>
      <c r="F12" s="27" t="str">
        <f aca="false">IF(C12&gt;0,E12/C12,"")</f>
        <v/>
      </c>
    </row>
    <row r="13" customFormat="false" ht="15" hidden="false" customHeight="false" outlineLevel="0" collapsed="false">
      <c r="A13" s="14"/>
      <c r="B13" s="16"/>
      <c r="C13" s="15"/>
      <c r="D13" s="15"/>
      <c r="E13" s="15"/>
      <c r="F13" s="27" t="str">
        <f aca="false">IF(C13&gt;0,E13/C13,"")</f>
        <v/>
      </c>
    </row>
    <row r="14" customFormat="false" ht="15" hidden="false" customHeight="false" outlineLevel="0" collapsed="false">
      <c r="A14" s="14"/>
      <c r="B14" s="16"/>
      <c r="C14" s="15"/>
      <c r="D14" s="15"/>
      <c r="E14" s="15"/>
      <c r="F14" s="27" t="str">
        <f aca="false">IF(C14&gt;0,E14/C14,"")</f>
        <v/>
      </c>
    </row>
    <row r="15" customFormat="false" ht="15" hidden="false" customHeight="false" outlineLevel="0" collapsed="false">
      <c r="A15" s="14"/>
      <c r="B15" s="16"/>
      <c r="C15" s="15"/>
      <c r="D15" s="15"/>
      <c r="E15" s="15"/>
      <c r="F15" s="27" t="str">
        <f aca="false">IF(C15&gt;0,E15/C15,"")</f>
        <v/>
      </c>
    </row>
    <row r="16" customFormat="false" ht="15" hidden="false" customHeight="false" outlineLevel="0" collapsed="false">
      <c r="A16" s="14"/>
      <c r="B16" s="16"/>
      <c r="C16" s="15"/>
      <c r="D16" s="15"/>
      <c r="E16" s="15"/>
      <c r="F16" s="27" t="str">
        <f aca="false">IF(C16&gt;0,E16/C16,"")</f>
        <v/>
      </c>
    </row>
    <row r="17" customFormat="false" ht="15" hidden="false" customHeight="false" outlineLevel="0" collapsed="false">
      <c r="A17" s="14"/>
      <c r="B17" s="16"/>
      <c r="C17" s="15"/>
      <c r="D17" s="15"/>
      <c r="E17" s="15"/>
      <c r="F17" s="27" t="str">
        <f aca="false">IF(C17&gt;0,E17/C17,"")</f>
        <v/>
      </c>
    </row>
    <row r="18" customFormat="false" ht="15" hidden="false" customHeight="false" outlineLevel="0" collapsed="false">
      <c r="A18" s="14"/>
      <c r="B18" s="16"/>
      <c r="C18" s="15"/>
      <c r="D18" s="15"/>
      <c r="E18" s="15"/>
      <c r="F18" s="27" t="str">
        <f aca="false">IF(C18&gt;0,E18/C18,"")</f>
        <v/>
      </c>
    </row>
    <row r="19" customFormat="false" ht="15" hidden="false" customHeight="false" outlineLevel="0" collapsed="false">
      <c r="A19" s="14"/>
      <c r="B19" s="16"/>
      <c r="C19" s="15"/>
      <c r="D19" s="15"/>
      <c r="E19" s="15"/>
      <c r="F19" s="27" t="str">
        <f aca="false">IF(C19&gt;0,E19/C19,"")</f>
        <v/>
      </c>
    </row>
    <row r="20" customFormat="false" ht="15" hidden="false" customHeight="false" outlineLevel="0" collapsed="false">
      <c r="A20" s="14"/>
      <c r="B20" s="16"/>
      <c r="C20" s="15"/>
      <c r="D20" s="15"/>
      <c r="E20" s="15"/>
      <c r="F20" s="27" t="str">
        <f aca="false">IF(C20&gt;0,E20/C20,"")</f>
        <v/>
      </c>
    </row>
    <row r="21" customFormat="false" ht="15" hidden="false" customHeight="false" outlineLevel="0" collapsed="false">
      <c r="A21" s="14"/>
      <c r="B21" s="16"/>
      <c r="C21" s="15"/>
      <c r="D21" s="15"/>
      <c r="E21" s="15"/>
      <c r="F21" s="27" t="str">
        <f aca="false">IF(C21&gt;0,E21/C21,"")</f>
        <v/>
      </c>
    </row>
    <row r="22" customFormat="false" ht="15" hidden="false" customHeight="false" outlineLevel="0" collapsed="false">
      <c r="A22" s="14"/>
      <c r="B22" s="16"/>
      <c r="C22" s="15"/>
      <c r="D22" s="15"/>
      <c r="E22" s="15"/>
      <c r="F22" s="27" t="str">
        <f aca="false">IF(C22&gt;0,E22/C22,"")</f>
        <v/>
      </c>
    </row>
    <row r="23" customFormat="false" ht="15" hidden="false" customHeight="false" outlineLevel="0" collapsed="false">
      <c r="A23" s="14"/>
      <c r="B23" s="16"/>
      <c r="C23" s="15"/>
      <c r="D23" s="15"/>
      <c r="E23" s="15"/>
      <c r="F23" s="27" t="str">
        <f aca="false">IF(C23&gt;0,E23/C23,"")</f>
        <v/>
      </c>
    </row>
    <row r="24" customFormat="false" ht="15" hidden="false" customHeight="false" outlineLevel="0" collapsed="false">
      <c r="A24" s="14"/>
      <c r="B24" s="16"/>
      <c r="C24" s="15"/>
      <c r="D24" s="15"/>
      <c r="E24" s="15"/>
      <c r="F24" s="27" t="str">
        <f aca="false">IF(C24&gt;0,E24/C24,"")</f>
        <v/>
      </c>
    </row>
    <row r="25" customFormat="false" ht="15" hidden="false" customHeight="false" outlineLevel="0" collapsed="false">
      <c r="A25" s="14"/>
      <c r="B25" s="16"/>
      <c r="C25" s="15"/>
      <c r="D25" s="15"/>
      <c r="E25" s="15"/>
      <c r="F25" s="27" t="str">
        <f aca="false">IF(C25&gt;0,E25/C25,"")</f>
        <v/>
      </c>
    </row>
    <row r="26" customFormat="false" ht="15" hidden="false" customHeight="false" outlineLevel="0" collapsed="false">
      <c r="A26" s="14"/>
      <c r="B26" s="16"/>
      <c r="C26" s="15"/>
      <c r="D26" s="15"/>
      <c r="E26" s="15"/>
      <c r="F26" s="27" t="str">
        <f aca="false">IF(C26&gt;0,E26/C26,"")</f>
        <v/>
      </c>
    </row>
    <row r="27" customFormat="false" ht="15" hidden="false" customHeight="false" outlineLevel="0" collapsed="false">
      <c r="A27" s="14"/>
      <c r="B27" s="16"/>
      <c r="C27" s="15"/>
      <c r="D27" s="15"/>
      <c r="E27" s="15"/>
      <c r="F27" s="27" t="str">
        <f aca="false">IF(C27&gt;0,E27/C27,"")</f>
        <v/>
      </c>
    </row>
    <row r="28" customFormat="false" ht="15" hidden="false" customHeight="false" outlineLevel="0" collapsed="false">
      <c r="A28" s="14"/>
      <c r="B28" s="16"/>
      <c r="C28" s="15"/>
      <c r="D28" s="15"/>
      <c r="E28" s="15"/>
      <c r="F28" s="27" t="str">
        <f aca="false">IF(C28&gt;0,E28/C28,"")</f>
        <v/>
      </c>
    </row>
    <row r="29" customFormat="false" ht="15" hidden="false" customHeight="false" outlineLevel="0" collapsed="false">
      <c r="A29" s="14"/>
      <c r="B29" s="16"/>
      <c r="C29" s="15"/>
      <c r="D29" s="15"/>
      <c r="E29" s="15"/>
      <c r="F29" s="27" t="str">
        <f aca="false">IF(C29&gt;0,E29/C29,"")</f>
        <v/>
      </c>
    </row>
    <row r="30" customFormat="false" ht="15" hidden="false" customHeight="false" outlineLevel="0" collapsed="false">
      <c r="A30" s="14"/>
      <c r="B30" s="16"/>
      <c r="C30" s="15"/>
      <c r="D30" s="15"/>
      <c r="E30" s="15"/>
      <c r="F30" s="27" t="str">
        <f aca="false">IF(C30&gt;0,E30/C30,"")</f>
        <v/>
      </c>
    </row>
    <row r="31" customFormat="false" ht="15" hidden="false" customHeight="false" outlineLevel="0" collapsed="false">
      <c r="A31" s="14"/>
      <c r="B31" s="16"/>
      <c r="C31" s="15"/>
      <c r="D31" s="15"/>
      <c r="E31" s="15"/>
      <c r="F31" s="27" t="str">
        <f aca="false">IF(C31&gt;0,E31/C31,"")</f>
        <v/>
      </c>
    </row>
    <row r="32" customFormat="false" ht="15" hidden="false" customHeight="false" outlineLevel="0" collapsed="false">
      <c r="A32" s="14"/>
      <c r="B32" s="16"/>
      <c r="C32" s="15"/>
      <c r="D32" s="15"/>
      <c r="E32" s="15"/>
      <c r="F32" s="27" t="str">
        <f aca="false">IF(C32&gt;0,E32/C32,"")</f>
        <v/>
      </c>
    </row>
    <row r="33" customFormat="false" ht="15" hidden="false" customHeight="false" outlineLevel="0" collapsed="false">
      <c r="A33" s="14"/>
      <c r="B33" s="16"/>
      <c r="C33" s="15"/>
      <c r="D33" s="15"/>
      <c r="E33" s="15"/>
      <c r="F33" s="27" t="str">
        <f aca="false">IF(C33&gt;0,E33/C33,"")</f>
        <v/>
      </c>
    </row>
    <row r="34" customFormat="false" ht="15" hidden="false" customHeight="false" outlineLevel="0" collapsed="false">
      <c r="A34" s="14"/>
      <c r="B34" s="16"/>
      <c r="C34" s="15"/>
      <c r="D34" s="15"/>
      <c r="E34" s="15"/>
      <c r="F34" s="27" t="str">
        <f aca="false">IF(C34&gt;0,E34/C34,"")</f>
        <v/>
      </c>
    </row>
    <row r="35" customFormat="false" ht="15" hidden="false" customHeight="false" outlineLevel="0" collapsed="false">
      <c r="A35" s="14"/>
      <c r="B35" s="16"/>
      <c r="C35" s="15"/>
      <c r="D35" s="15"/>
      <c r="E35" s="15"/>
      <c r="F35" s="27" t="str">
        <f aca="false">IF(C35&gt;0,E35/C35,"")</f>
        <v/>
      </c>
    </row>
    <row r="36" customFormat="false" ht="15" hidden="false" customHeight="false" outlineLevel="0" collapsed="false">
      <c r="A36" s="14"/>
      <c r="B36" s="16"/>
      <c r="C36" s="15"/>
      <c r="D36" s="15"/>
      <c r="E36" s="15"/>
      <c r="F36" s="27" t="str">
        <f aca="false">IF(C36&gt;0,E36/C36,"")</f>
        <v/>
      </c>
    </row>
    <row r="37" customFormat="false" ht="15" hidden="false" customHeight="false" outlineLevel="0" collapsed="false">
      <c r="A37" s="14"/>
      <c r="B37" s="16"/>
      <c r="C37" s="15"/>
      <c r="D37" s="15"/>
      <c r="E37" s="15"/>
      <c r="F37" s="27" t="str">
        <f aca="false">IF(C37&gt;0,E37/C37,"")</f>
        <v/>
      </c>
    </row>
    <row r="38" customFormat="false" ht="15" hidden="false" customHeight="false" outlineLevel="0" collapsed="false">
      <c r="A38" s="14"/>
      <c r="B38" s="16"/>
      <c r="C38" s="15"/>
      <c r="D38" s="15"/>
      <c r="E38" s="15"/>
      <c r="F38" s="27" t="str">
        <f aca="false">IF(C38&gt;0,E38/C38,"")</f>
        <v/>
      </c>
    </row>
    <row r="39" customFormat="false" ht="15" hidden="false" customHeight="false" outlineLevel="0" collapsed="false">
      <c r="A39" s="14"/>
      <c r="B39" s="16"/>
      <c r="C39" s="15"/>
      <c r="D39" s="15"/>
      <c r="E39" s="15"/>
      <c r="F39" s="27" t="str">
        <f aca="false">IF(C39&gt;0,E39/C39,"")</f>
        <v/>
      </c>
    </row>
    <row r="40" customFormat="false" ht="15" hidden="false" customHeight="false" outlineLevel="0" collapsed="false">
      <c r="A40" s="14"/>
      <c r="B40" s="16"/>
      <c r="C40" s="15"/>
      <c r="D40" s="15"/>
      <c r="E40" s="15"/>
      <c r="F40" s="27" t="str">
        <f aca="false">IF(C40&gt;0,E40/C40,"")</f>
        <v/>
      </c>
    </row>
    <row r="41" customFormat="false" ht="15" hidden="false" customHeight="false" outlineLevel="0" collapsed="false">
      <c r="A41" s="14"/>
      <c r="B41" s="16"/>
      <c r="C41" s="15"/>
      <c r="D41" s="15"/>
      <c r="E41" s="15"/>
      <c r="F41" s="27" t="str">
        <f aca="false">IF(C41&gt;0,E41/C41,"")</f>
        <v/>
      </c>
    </row>
    <row r="42" customFormat="false" ht="15" hidden="false" customHeight="false" outlineLevel="0" collapsed="false">
      <c r="A42" s="14"/>
      <c r="B42" s="16"/>
      <c r="C42" s="15"/>
      <c r="D42" s="15"/>
      <c r="E42" s="15"/>
      <c r="F42" s="27" t="str">
        <f aca="false">IF(C42&gt;0,E42/C42,"")</f>
        <v/>
      </c>
    </row>
    <row r="43" customFormat="false" ht="15" hidden="false" customHeight="false" outlineLevel="0" collapsed="false">
      <c r="A43" s="14"/>
      <c r="B43" s="16"/>
      <c r="C43" s="15"/>
      <c r="D43" s="15"/>
      <c r="E43" s="15"/>
      <c r="F43" s="27" t="str">
        <f aca="false">IF(C43&gt;0,E43/C43,"")</f>
        <v/>
      </c>
    </row>
    <row r="44" customFormat="false" ht="15" hidden="false" customHeight="false" outlineLevel="0" collapsed="false">
      <c r="A44" s="14"/>
      <c r="B44" s="16"/>
      <c r="C44" s="15"/>
      <c r="D44" s="15"/>
      <c r="E44" s="15"/>
      <c r="F44" s="27" t="str">
        <f aca="false">IF(C44&gt;0,E44/C44,"")</f>
        <v/>
      </c>
    </row>
    <row r="45" customFormat="false" ht="15" hidden="false" customHeight="false" outlineLevel="0" collapsed="false">
      <c r="A45" s="14"/>
      <c r="B45" s="16"/>
      <c r="C45" s="15"/>
      <c r="D45" s="15"/>
      <c r="E45" s="15"/>
      <c r="F45" s="27" t="str">
        <f aca="false">IF(C45&gt;0,E45/C45,"")</f>
        <v/>
      </c>
    </row>
    <row r="46" customFormat="false" ht="15" hidden="false" customHeight="false" outlineLevel="0" collapsed="false">
      <c r="A46" s="14"/>
      <c r="B46" s="16"/>
      <c r="C46" s="15"/>
      <c r="D46" s="15"/>
      <c r="E46" s="15"/>
      <c r="F46" s="27" t="str">
        <f aca="false">IF(C46&gt;0,E46/C46,"")</f>
        <v/>
      </c>
    </row>
    <row r="47" customFormat="false" ht="15" hidden="false" customHeight="false" outlineLevel="0" collapsed="false">
      <c r="A47" s="14"/>
      <c r="B47" s="16"/>
      <c r="C47" s="15"/>
      <c r="D47" s="15"/>
      <c r="E47" s="15"/>
      <c r="F47" s="27" t="str">
        <f aca="false">IF(C47&gt;0,E47/C47,"")</f>
        <v/>
      </c>
    </row>
    <row r="48" customFormat="false" ht="15" hidden="false" customHeight="false" outlineLevel="0" collapsed="false">
      <c r="A48" s="14"/>
      <c r="B48" s="16"/>
      <c r="C48" s="15"/>
      <c r="D48" s="15"/>
      <c r="E48" s="15"/>
      <c r="F48" s="27" t="str">
        <f aca="false">IF(C48&gt;0,E48/C48,"")</f>
        <v/>
      </c>
    </row>
    <row r="49" customFormat="false" ht="15" hidden="false" customHeight="false" outlineLevel="0" collapsed="false">
      <c r="A49" s="14"/>
      <c r="B49" s="16"/>
      <c r="C49" s="15"/>
      <c r="D49" s="15"/>
      <c r="E49" s="15"/>
      <c r="F49" s="27" t="str">
        <f aca="false">IF(C49&gt;0,E49/C49,"")</f>
        <v/>
      </c>
    </row>
    <row r="50" customFormat="false" ht="15" hidden="false" customHeight="false" outlineLevel="0" collapsed="false">
      <c r="A50" s="14"/>
      <c r="B50" s="16"/>
      <c r="C50" s="15"/>
      <c r="D50" s="15"/>
      <c r="E50" s="15"/>
      <c r="F50" s="27" t="str">
        <f aca="false">IF(C50&gt;0,E50/C50,"")</f>
        <v/>
      </c>
    </row>
    <row r="51" customFormat="false" ht="15" hidden="false" customHeight="false" outlineLevel="0" collapsed="false">
      <c r="A51" s="14"/>
      <c r="B51" s="16"/>
      <c r="C51" s="15"/>
      <c r="D51" s="15"/>
      <c r="E51" s="15"/>
      <c r="F51" s="27" t="str">
        <f aca="false">IF(C51&gt;0,E51/C51,"")</f>
        <v/>
      </c>
    </row>
    <row r="52" customFormat="false" ht="15" hidden="false" customHeight="false" outlineLevel="0" collapsed="false">
      <c r="A52" s="14"/>
      <c r="B52" s="16"/>
      <c r="C52" s="15"/>
      <c r="D52" s="15"/>
      <c r="E52" s="15"/>
      <c r="F52" s="27" t="str">
        <f aca="false">IF(C52&gt;0,E52/C52,"")</f>
        <v/>
      </c>
    </row>
    <row r="53" customFormat="false" ht="15" hidden="false" customHeight="false" outlineLevel="0" collapsed="false">
      <c r="A53" s="14"/>
      <c r="B53" s="16"/>
      <c r="C53" s="15"/>
      <c r="D53" s="15"/>
      <c r="E53" s="15"/>
      <c r="F53" s="27" t="str">
        <f aca="false">IF(C53&gt;0,E53/C53,"")</f>
        <v/>
      </c>
    </row>
    <row r="54" customFormat="false" ht="15" hidden="false" customHeight="false" outlineLevel="0" collapsed="false">
      <c r="A54" s="14"/>
      <c r="B54" s="16"/>
      <c r="C54" s="15"/>
      <c r="D54" s="15"/>
      <c r="E54" s="15"/>
      <c r="F54" s="27" t="str">
        <f aca="false">IF(C54&gt;0,E54/C54,"")</f>
        <v/>
      </c>
    </row>
    <row r="55" customFormat="false" ht="15" hidden="false" customHeight="false" outlineLevel="0" collapsed="false">
      <c r="A55" s="14"/>
      <c r="B55" s="16"/>
      <c r="C55" s="15"/>
      <c r="D55" s="15"/>
      <c r="E55" s="15"/>
      <c r="F55" s="27" t="str">
        <f aca="false">IF(C55&gt;0,E55/C55,"")</f>
        <v/>
      </c>
    </row>
    <row r="56" customFormat="false" ht="15" hidden="false" customHeight="false" outlineLevel="0" collapsed="false">
      <c r="A56" s="14"/>
      <c r="B56" s="16"/>
      <c r="C56" s="15"/>
      <c r="D56" s="15"/>
      <c r="E56" s="15"/>
      <c r="F56" s="27" t="str">
        <f aca="false">IF(C56&gt;0,E56/C56,"")</f>
        <v/>
      </c>
    </row>
    <row r="57" customFormat="false" ht="15" hidden="false" customHeight="false" outlineLevel="0" collapsed="false">
      <c r="A57" s="14"/>
      <c r="B57" s="16"/>
      <c r="C57" s="15"/>
      <c r="D57" s="15"/>
      <c r="E57" s="15"/>
      <c r="F57" s="27" t="str">
        <f aca="false">IF(C57&gt;0,E57/C57,"")</f>
        <v/>
      </c>
    </row>
    <row r="58" customFormat="false" ht="15" hidden="false" customHeight="false" outlineLevel="0" collapsed="false">
      <c r="A58" s="14"/>
      <c r="B58" s="16"/>
      <c r="C58" s="15"/>
      <c r="D58" s="15"/>
      <c r="E58" s="15"/>
      <c r="F58" s="27" t="str">
        <f aca="false">IF(C58&gt;0,E58/C58,"")</f>
        <v/>
      </c>
    </row>
    <row r="59" customFormat="false" ht="15" hidden="false" customHeight="false" outlineLevel="0" collapsed="false">
      <c r="A59" s="14"/>
      <c r="B59" s="16"/>
      <c r="C59" s="15"/>
      <c r="D59" s="15"/>
      <c r="E59" s="15"/>
      <c r="F59" s="27" t="str">
        <f aca="false">IF(C59&gt;0,E59/C59,"")</f>
        <v/>
      </c>
    </row>
    <row r="60" customFormat="false" ht="15" hidden="false" customHeight="false" outlineLevel="0" collapsed="false">
      <c r="A60" s="14"/>
      <c r="B60" s="16"/>
      <c r="C60" s="15"/>
      <c r="D60" s="15"/>
      <c r="E60" s="15"/>
      <c r="F60" s="27" t="str">
        <f aca="false">IF(C60&gt;0,E60/C60,"")</f>
        <v/>
      </c>
    </row>
    <row r="61" customFormat="false" ht="15" hidden="false" customHeight="false" outlineLevel="0" collapsed="false">
      <c r="A61" s="14"/>
      <c r="B61" s="16"/>
      <c r="C61" s="15"/>
      <c r="D61" s="15"/>
      <c r="E61" s="15"/>
      <c r="F61" s="27" t="str">
        <f aca="false">IF(C61&gt;0,E61/C61,"")</f>
        <v/>
      </c>
    </row>
    <row r="62" customFormat="false" ht="15" hidden="false" customHeight="false" outlineLevel="0" collapsed="false">
      <c r="A62" s="14"/>
      <c r="B62" s="16"/>
      <c r="C62" s="15"/>
      <c r="D62" s="15"/>
      <c r="E62" s="15"/>
      <c r="F62" s="27" t="str">
        <f aca="false">IF(C62&gt;0,E62/C62,"")</f>
        <v/>
      </c>
    </row>
    <row r="63" customFormat="false" ht="15" hidden="false" customHeight="false" outlineLevel="0" collapsed="false">
      <c r="A63" s="14"/>
      <c r="B63" s="16"/>
      <c r="C63" s="15"/>
      <c r="D63" s="15"/>
      <c r="E63" s="15"/>
      <c r="F63" s="27" t="str">
        <f aca="false">IF(C63&gt;0,E63/C63,"")</f>
        <v/>
      </c>
    </row>
    <row r="64" customFormat="false" ht="15" hidden="false" customHeight="false" outlineLevel="0" collapsed="false">
      <c r="A64" s="14"/>
      <c r="B64" s="16"/>
      <c r="C64" s="15"/>
      <c r="D64" s="15"/>
      <c r="E64" s="15"/>
      <c r="F64" s="27" t="str">
        <f aca="false">IF(C64&gt;0,E64/C64,"")</f>
        <v/>
      </c>
    </row>
    <row r="65" customFormat="false" ht="15" hidden="false" customHeight="false" outlineLevel="0" collapsed="false">
      <c r="A65" s="14"/>
      <c r="B65" s="16"/>
      <c r="C65" s="15"/>
      <c r="D65" s="15"/>
      <c r="E65" s="15"/>
      <c r="F65" s="27" t="str">
        <f aca="false">IF(C65&gt;0,E65/C65,"")</f>
        <v/>
      </c>
    </row>
    <row r="66" customFormat="false" ht="15" hidden="false" customHeight="false" outlineLevel="0" collapsed="false">
      <c r="A66" s="14"/>
      <c r="B66" s="16"/>
      <c r="C66" s="15"/>
      <c r="D66" s="15"/>
      <c r="E66" s="15"/>
      <c r="F66" s="27" t="str">
        <f aca="false">IF(C66&gt;0,E66/C66,"")</f>
        <v/>
      </c>
    </row>
    <row r="67" customFormat="false" ht="15" hidden="false" customHeight="false" outlineLevel="0" collapsed="false">
      <c r="A67" s="14"/>
      <c r="B67" s="16"/>
      <c r="C67" s="15"/>
      <c r="D67" s="15"/>
      <c r="E67" s="15"/>
      <c r="F67" s="27" t="str">
        <f aca="false">IF(C67&gt;0,E67/C67,"")</f>
        <v/>
      </c>
    </row>
    <row r="68" customFormat="false" ht="15" hidden="false" customHeight="false" outlineLevel="0" collapsed="false">
      <c r="A68" s="14"/>
      <c r="B68" s="16"/>
      <c r="C68" s="15"/>
      <c r="D68" s="15"/>
      <c r="E68" s="15"/>
      <c r="F68" s="27" t="str">
        <f aca="false">IF(C68&gt;0,E68/C68,"")</f>
        <v/>
      </c>
    </row>
    <row r="69" customFormat="false" ht="15" hidden="false" customHeight="false" outlineLevel="0" collapsed="false">
      <c r="A69" s="14"/>
      <c r="B69" s="16"/>
      <c r="C69" s="15"/>
      <c r="D69" s="15"/>
      <c r="E69" s="15"/>
      <c r="F69" s="27" t="str">
        <f aca="false">IF(C69&gt;0,E69/C69,"")</f>
        <v/>
      </c>
    </row>
    <row r="70" customFormat="false" ht="15" hidden="false" customHeight="false" outlineLevel="0" collapsed="false">
      <c r="A70" s="14"/>
      <c r="B70" s="16"/>
      <c r="C70" s="15"/>
      <c r="D70" s="15"/>
      <c r="E70" s="15"/>
      <c r="F70" s="27" t="str">
        <f aca="false">IF(C70&gt;0,E70/C70,"")</f>
        <v/>
      </c>
    </row>
    <row r="71" customFormat="false" ht="15" hidden="false" customHeight="false" outlineLevel="0" collapsed="false">
      <c r="A71" s="14"/>
      <c r="B71" s="16"/>
      <c r="C71" s="15"/>
      <c r="D71" s="15"/>
      <c r="E71" s="15"/>
      <c r="F71" s="27" t="str">
        <f aca="false">IF(C71&gt;0,E71/C71,"")</f>
        <v/>
      </c>
    </row>
    <row r="72" customFormat="false" ht="15" hidden="false" customHeight="false" outlineLevel="0" collapsed="false">
      <c r="A72" s="14"/>
      <c r="B72" s="16"/>
      <c r="C72" s="15"/>
      <c r="D72" s="15"/>
      <c r="E72" s="15"/>
      <c r="F72" s="27" t="str">
        <f aca="false">IF(C72&gt;0,E72/C72,"")</f>
        <v/>
      </c>
    </row>
    <row r="73" customFormat="false" ht="15" hidden="false" customHeight="false" outlineLevel="0" collapsed="false">
      <c r="A73" s="14"/>
      <c r="B73" s="16"/>
      <c r="C73" s="15"/>
      <c r="D73" s="15"/>
      <c r="E73" s="15"/>
      <c r="F73" s="27" t="str">
        <f aca="false">IF(C73&gt;0,E73/C73,"")</f>
        <v/>
      </c>
    </row>
    <row r="74" customFormat="false" ht="15" hidden="false" customHeight="false" outlineLevel="0" collapsed="false">
      <c r="A74" s="14"/>
      <c r="B74" s="16"/>
      <c r="C74" s="15"/>
      <c r="D74" s="15"/>
      <c r="E74" s="15"/>
      <c r="F74" s="27" t="str">
        <f aca="false">IF(C74&gt;0,E74/C74,"")</f>
        <v/>
      </c>
    </row>
    <row r="75" customFormat="false" ht="15" hidden="false" customHeight="false" outlineLevel="0" collapsed="false">
      <c r="A75" s="14"/>
      <c r="B75" s="16"/>
      <c r="C75" s="15"/>
      <c r="D75" s="15"/>
      <c r="E75" s="15"/>
      <c r="F75" s="27" t="str">
        <f aca="false">IF(C75&gt;0,E75/C75,"")</f>
        <v/>
      </c>
    </row>
    <row r="76" customFormat="false" ht="15" hidden="false" customHeight="false" outlineLevel="0" collapsed="false">
      <c r="A76" s="14"/>
      <c r="B76" s="16"/>
      <c r="C76" s="15"/>
      <c r="D76" s="15"/>
      <c r="E76" s="15"/>
      <c r="F76" s="27" t="str">
        <f aca="false">IF(C76&gt;0,E76/C76,"")</f>
        <v/>
      </c>
    </row>
    <row r="77" customFormat="false" ht="15" hidden="false" customHeight="false" outlineLevel="0" collapsed="false">
      <c r="A77" s="14"/>
      <c r="B77" s="16"/>
      <c r="C77" s="15"/>
      <c r="D77" s="15"/>
      <c r="E77" s="15"/>
      <c r="F77" s="27" t="str">
        <f aca="false">IF(C77&gt;0,E77/C77,"")</f>
        <v/>
      </c>
    </row>
    <row r="78" customFormat="false" ht="15" hidden="false" customHeight="false" outlineLevel="0" collapsed="false">
      <c r="A78" s="14"/>
      <c r="B78" s="16"/>
      <c r="C78" s="15"/>
      <c r="D78" s="15"/>
      <c r="E78" s="15"/>
      <c r="F78" s="27" t="str">
        <f aca="false">IF(C78&gt;0,E78/C78,"")</f>
        <v/>
      </c>
    </row>
    <row r="79" customFormat="false" ht="15" hidden="false" customHeight="false" outlineLevel="0" collapsed="false">
      <c r="A79" s="14"/>
      <c r="B79" s="16"/>
      <c r="C79" s="15"/>
      <c r="D79" s="15"/>
      <c r="E79" s="15"/>
      <c r="F79" s="27" t="str">
        <f aca="false">IF(C79&gt;0,E79/C79,"")</f>
        <v/>
      </c>
    </row>
    <row r="80" customFormat="false" ht="15" hidden="false" customHeight="false" outlineLevel="0" collapsed="false">
      <c r="A80" s="14"/>
      <c r="B80" s="16"/>
      <c r="C80" s="15"/>
      <c r="D80" s="15"/>
      <c r="E80" s="15"/>
      <c r="F80" s="27" t="str">
        <f aca="false">IF(C80&gt;0,E80/C80,"")</f>
        <v/>
      </c>
    </row>
    <row r="81" customFormat="false" ht="15" hidden="false" customHeight="false" outlineLevel="0" collapsed="false">
      <c r="A81" s="14"/>
      <c r="B81" s="16"/>
      <c r="C81" s="15"/>
      <c r="D81" s="15"/>
      <c r="E81" s="15"/>
      <c r="F81" s="27" t="str">
        <f aca="false">IF(C81&gt;0,E81/C81,"")</f>
        <v/>
      </c>
    </row>
    <row r="82" customFormat="false" ht="15" hidden="false" customHeight="false" outlineLevel="0" collapsed="false">
      <c r="A82" s="14"/>
      <c r="B82" s="16"/>
      <c r="C82" s="15"/>
      <c r="D82" s="15"/>
      <c r="E82" s="15"/>
      <c r="F82" s="27" t="str">
        <f aca="false">IF(C82&gt;0,E82/C82,"")</f>
        <v/>
      </c>
    </row>
    <row r="83" customFormat="false" ht="15" hidden="false" customHeight="false" outlineLevel="0" collapsed="false">
      <c r="A83" s="14"/>
      <c r="B83" s="16"/>
      <c r="C83" s="15"/>
      <c r="D83" s="15"/>
      <c r="E83" s="15"/>
      <c r="F83" s="27" t="str">
        <f aca="false">IF(C83&gt;0,E83/C83,"")</f>
        <v/>
      </c>
    </row>
    <row r="84" customFormat="false" ht="15" hidden="false" customHeight="false" outlineLevel="0" collapsed="false">
      <c r="A84" s="14"/>
      <c r="B84" s="16"/>
      <c r="C84" s="15"/>
      <c r="D84" s="15"/>
      <c r="E84" s="15"/>
      <c r="F84" s="27" t="str">
        <f aca="false">IF(C84&gt;0,E84/C84,"")</f>
        <v/>
      </c>
    </row>
  </sheetData>
  <dataValidations count="1">
    <dataValidation allowBlank="true" errorStyle="stop" operator="between" showDropDown="false" showErrorMessage="false" showInputMessage="false" sqref="B5:B84" type="list">
      <formula1>"Coaches/tutors,Salons/studios,Event hosts,Photographers,Agencies"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8"/>
    <col collapsed="false" customWidth="true" hidden="false" outlineLevel="0" max="6" min="5" style="0" width="30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2" min="10" style="0" width="13"/>
    <col collapsed="false" customWidth="true" hidden="false" outlineLevel="0" max="13" min="13" style="0" width="3"/>
    <col collapsed="false" customWidth="true" hidden="false" outlineLevel="0" max="14" min="14" style="0" width="20"/>
    <col collapsed="false" customWidth="true" hidden="false" outlineLevel="0" max="16" min="15" style="0" width="13"/>
    <col collapsed="false" customWidth="true" hidden="false" outlineLevel="0" max="17" min="17" style="0" width="18"/>
    <col collapsed="false" customWidth="true" hidden="false" outlineLevel="0" max="18" min="18" style="0" width="30"/>
    <col collapsed="false" customWidth="true" hidden="false" outlineLevel="0" max="19" min="19" style="0" width="15"/>
  </cols>
  <sheetData>
    <row r="1" customFormat="false" ht="17.35" hidden="false" customHeight="false" outlineLevel="0" collapsed="false">
      <c r="A1" s="1" t="s">
        <v>75</v>
      </c>
      <c r="N1" s="23" t="s">
        <v>76</v>
      </c>
    </row>
    <row r="2" customFormat="false" ht="15" hidden="false" customHeight="false" outlineLevel="0" collapsed="false">
      <c r="A2" s="7" t="s">
        <v>77</v>
      </c>
      <c r="Q2" s="2" t="s">
        <v>78</v>
      </c>
      <c r="R2" s="15" t="n">
        <v>100</v>
      </c>
      <c r="S2" s="7" t="s">
        <v>79</v>
      </c>
    </row>
    <row r="3" customFormat="false" ht="31.5" hidden="false" customHeight="true" outlineLevel="0" collapsed="false">
      <c r="A3" s="8" t="s">
        <v>80</v>
      </c>
      <c r="B3" s="8" t="s">
        <v>52</v>
      </c>
      <c r="C3" s="8" t="s">
        <v>64</v>
      </c>
      <c r="D3" s="8" t="s">
        <v>81</v>
      </c>
      <c r="E3" s="8" t="s">
        <v>82</v>
      </c>
      <c r="F3" s="8" t="s">
        <v>83</v>
      </c>
      <c r="G3" s="8" t="s">
        <v>84</v>
      </c>
      <c r="H3" s="8" t="s">
        <v>55</v>
      </c>
      <c r="I3" s="8" t="s">
        <v>56</v>
      </c>
      <c r="J3" s="8" t="s">
        <v>85</v>
      </c>
      <c r="K3" s="8" t="s">
        <v>58</v>
      </c>
      <c r="L3" s="8" t="s">
        <v>86</v>
      </c>
      <c r="N3" s="8" t="s">
        <v>87</v>
      </c>
      <c r="O3" s="8" t="s">
        <v>88</v>
      </c>
      <c r="P3" s="8" t="s">
        <v>52</v>
      </c>
      <c r="Q3" s="8" t="s">
        <v>81</v>
      </c>
      <c r="R3" s="8" t="s">
        <v>82</v>
      </c>
      <c r="S3" s="8" t="s">
        <v>58</v>
      </c>
    </row>
    <row r="4" customFormat="false" ht="15" hidden="false" customHeight="false" outlineLevel="0" collapsed="false">
      <c r="A4" s="9" t="n">
        <v>46318</v>
      </c>
      <c r="B4" s="11" t="s">
        <v>21</v>
      </c>
      <c r="C4" s="11" t="s">
        <v>69</v>
      </c>
      <c r="D4" s="11" t="s">
        <v>89</v>
      </c>
      <c r="E4" s="11" t="s">
        <v>90</v>
      </c>
      <c r="F4" s="11" t="s">
        <v>91</v>
      </c>
      <c r="G4" s="10" t="n">
        <v>3200</v>
      </c>
      <c r="H4" s="10" t="n">
        <v>210</v>
      </c>
      <c r="I4" s="10" t="n">
        <v>38</v>
      </c>
      <c r="J4" s="10" t="n">
        <v>2</v>
      </c>
      <c r="K4" s="12" t="n">
        <f aca="false">IF(G4&gt;0,H4/G4,"")</f>
        <v>0.065625</v>
      </c>
      <c r="L4" s="29" t="str">
        <f aca="false">""</f>
        <v/>
      </c>
      <c r="N4" s="24" t="n">
        <v>1</v>
      </c>
      <c r="O4" s="30" t="str">
        <f aca="false">IFERROR(INDEX($A$5:$A$204,MATCH(LARGE($L$5:$L$204,$N4),$L$5:$L$204,0)),"")</f>
        <v/>
      </c>
      <c r="P4" s="24" t="str">
        <f aca="false">IFERROR(INDEX($B$5:$B$204,MATCH(LARGE($L$5:$L$204,$N4),$L$5:$L$204,0)),"")</f>
        <v/>
      </c>
      <c r="Q4" s="24" t="str">
        <f aca="false">IFERROR(INDEX($D$5:$D$204,MATCH(LARGE($L$5:$L$204,$N4),$L$5:$L$204,0)),"")</f>
        <v/>
      </c>
      <c r="R4" s="24" t="str">
        <f aca="false">IFERROR(INDEX($E$5:$E$204,MATCH(LARGE($L$5:$L$204,$N4),$L$5:$L$204,0)),"")</f>
        <v/>
      </c>
      <c r="S4" s="17" t="str">
        <f aca="false">IFERROR(INDEX($K$5:$K$204,MATCH(LARGE($L$5:$L$204,$N4),$L$5:$L$204,0)),"")</f>
        <v/>
      </c>
    </row>
    <row r="5" customFormat="false" ht="15" hidden="false" customHeight="false" outlineLevel="0" collapsed="false">
      <c r="A5" s="14"/>
      <c r="B5" s="16"/>
      <c r="C5" s="16"/>
      <c r="D5" s="16"/>
      <c r="E5" s="16"/>
      <c r="F5" s="16"/>
      <c r="G5" s="15"/>
      <c r="H5" s="15"/>
      <c r="I5" s="15"/>
      <c r="J5" s="15"/>
      <c r="K5" s="17" t="str">
        <f aca="false">IF(G5&gt;0,H5/G5,"")</f>
        <v/>
      </c>
      <c r="L5" s="31" t="str">
        <f aca="false">IF(AND(G5&gt;0,G5&gt;=$R$2),K5+ROW()/1000000000,"")</f>
        <v/>
      </c>
      <c r="N5" s="24" t="n">
        <v>2</v>
      </c>
      <c r="O5" s="30" t="str">
        <f aca="false">IFERROR(INDEX($A$5:$A$204,MATCH(LARGE($L$5:$L$204,$N5),$L$5:$L$204,0)),"")</f>
        <v/>
      </c>
      <c r="P5" s="24" t="str">
        <f aca="false">IFERROR(INDEX($B$5:$B$204,MATCH(LARGE($L$5:$L$204,$N5),$L$5:$L$204,0)),"")</f>
        <v/>
      </c>
      <c r="Q5" s="24" t="str">
        <f aca="false">IFERROR(INDEX($D$5:$D$204,MATCH(LARGE($L$5:$L$204,$N5),$L$5:$L$204,0)),"")</f>
        <v/>
      </c>
      <c r="R5" s="24" t="str">
        <f aca="false">IFERROR(INDEX($E$5:$E$204,MATCH(LARGE($L$5:$L$204,$N5),$L$5:$L$204,0)),"")</f>
        <v/>
      </c>
      <c r="S5" s="17" t="str">
        <f aca="false">IFERROR(INDEX($K$5:$K$204,MATCH(LARGE($L$5:$L$204,$N5),$L$5:$L$204,0)),"")</f>
        <v/>
      </c>
    </row>
    <row r="6" customFormat="false" ht="15" hidden="false" customHeight="false" outlineLevel="0" collapsed="false">
      <c r="A6" s="14"/>
      <c r="B6" s="16"/>
      <c r="C6" s="16"/>
      <c r="D6" s="16"/>
      <c r="E6" s="16"/>
      <c r="F6" s="16"/>
      <c r="G6" s="15"/>
      <c r="H6" s="15"/>
      <c r="I6" s="15"/>
      <c r="J6" s="15"/>
      <c r="K6" s="17" t="str">
        <f aca="false">IF(G6&gt;0,H6/G6,"")</f>
        <v/>
      </c>
      <c r="L6" s="31" t="str">
        <f aca="false">IF(AND(G6&gt;0,G6&gt;=$R$2),K6+ROW()/1000000000,"")</f>
        <v/>
      </c>
      <c r="N6" s="24" t="n">
        <v>3</v>
      </c>
      <c r="O6" s="30" t="str">
        <f aca="false">IFERROR(INDEX($A$5:$A$204,MATCH(LARGE($L$5:$L$204,$N6),$L$5:$L$204,0)),"")</f>
        <v/>
      </c>
      <c r="P6" s="24" t="str">
        <f aca="false">IFERROR(INDEX($B$5:$B$204,MATCH(LARGE($L$5:$L$204,$N6),$L$5:$L$204,0)),"")</f>
        <v/>
      </c>
      <c r="Q6" s="24" t="str">
        <f aca="false">IFERROR(INDEX($D$5:$D$204,MATCH(LARGE($L$5:$L$204,$N6),$L$5:$L$204,0)),"")</f>
        <v/>
      </c>
      <c r="R6" s="24" t="str">
        <f aca="false">IFERROR(INDEX($E$5:$E$204,MATCH(LARGE($L$5:$L$204,$N6),$L$5:$L$204,0)),"")</f>
        <v/>
      </c>
      <c r="S6" s="17" t="str">
        <f aca="false">IFERROR(INDEX($K$5:$K$204,MATCH(LARGE($L$5:$L$204,$N6),$L$5:$L$204,0)),"")</f>
        <v/>
      </c>
    </row>
    <row r="7" customFormat="false" ht="15" hidden="false" customHeight="false" outlineLevel="0" collapsed="false">
      <c r="A7" s="14"/>
      <c r="B7" s="16"/>
      <c r="C7" s="16"/>
      <c r="D7" s="16"/>
      <c r="E7" s="16"/>
      <c r="F7" s="16"/>
      <c r="G7" s="15"/>
      <c r="H7" s="15"/>
      <c r="I7" s="15"/>
      <c r="J7" s="15"/>
      <c r="K7" s="17" t="str">
        <f aca="false">IF(G7&gt;0,H7/G7,"")</f>
        <v/>
      </c>
      <c r="L7" s="31" t="str">
        <f aca="false">IF(AND(G7&gt;0,G7&gt;=$R$2),K7+ROW()/1000000000,"")</f>
        <v/>
      </c>
      <c r="N7" s="24" t="n">
        <v>4</v>
      </c>
      <c r="O7" s="30" t="str">
        <f aca="false">IFERROR(INDEX($A$5:$A$204,MATCH(LARGE($L$5:$L$204,$N7),$L$5:$L$204,0)),"")</f>
        <v/>
      </c>
      <c r="P7" s="24" t="str">
        <f aca="false">IFERROR(INDEX($B$5:$B$204,MATCH(LARGE($L$5:$L$204,$N7),$L$5:$L$204,0)),"")</f>
        <v/>
      </c>
      <c r="Q7" s="24" t="str">
        <f aca="false">IFERROR(INDEX($D$5:$D$204,MATCH(LARGE($L$5:$L$204,$N7),$L$5:$L$204,0)),"")</f>
        <v/>
      </c>
      <c r="R7" s="24" t="str">
        <f aca="false">IFERROR(INDEX($E$5:$E$204,MATCH(LARGE($L$5:$L$204,$N7),$L$5:$L$204,0)),"")</f>
        <v/>
      </c>
      <c r="S7" s="17" t="str">
        <f aca="false">IFERROR(INDEX($K$5:$K$204,MATCH(LARGE($L$5:$L$204,$N7),$L$5:$L$204,0)),"")</f>
        <v/>
      </c>
    </row>
    <row r="8" customFormat="false" ht="15" hidden="false" customHeight="false" outlineLevel="0" collapsed="false">
      <c r="A8" s="14"/>
      <c r="B8" s="16"/>
      <c r="C8" s="16"/>
      <c r="D8" s="16"/>
      <c r="E8" s="16"/>
      <c r="F8" s="16"/>
      <c r="G8" s="15"/>
      <c r="H8" s="15"/>
      <c r="I8" s="15"/>
      <c r="J8" s="15"/>
      <c r="K8" s="17" t="str">
        <f aca="false">IF(G8&gt;0,H8/G8,"")</f>
        <v/>
      </c>
      <c r="L8" s="31" t="str">
        <f aca="false">IF(AND(G8&gt;0,G8&gt;=$R$2),K8+ROW()/1000000000,"")</f>
        <v/>
      </c>
      <c r="N8" s="24" t="n">
        <v>5</v>
      </c>
      <c r="O8" s="30" t="str">
        <f aca="false">IFERROR(INDEX($A$5:$A$204,MATCH(LARGE($L$5:$L$204,$N8),$L$5:$L$204,0)),"")</f>
        <v/>
      </c>
      <c r="P8" s="24" t="str">
        <f aca="false">IFERROR(INDEX($B$5:$B$204,MATCH(LARGE($L$5:$L$204,$N8),$L$5:$L$204,0)),"")</f>
        <v/>
      </c>
      <c r="Q8" s="24" t="str">
        <f aca="false">IFERROR(INDEX($D$5:$D$204,MATCH(LARGE($L$5:$L$204,$N8),$L$5:$L$204,0)),"")</f>
        <v/>
      </c>
      <c r="R8" s="24" t="str">
        <f aca="false">IFERROR(INDEX($E$5:$E$204,MATCH(LARGE($L$5:$L$204,$N8),$L$5:$L$204,0)),"")</f>
        <v/>
      </c>
      <c r="S8" s="17" t="str">
        <f aca="false">IFERROR(INDEX($K$5:$K$204,MATCH(LARGE($L$5:$L$204,$N8),$L$5:$L$204,0)),"")</f>
        <v/>
      </c>
    </row>
    <row r="9" customFormat="false" ht="15" hidden="false" customHeight="false" outlineLevel="0" collapsed="false">
      <c r="A9" s="14"/>
      <c r="B9" s="16"/>
      <c r="C9" s="16"/>
      <c r="D9" s="16"/>
      <c r="E9" s="16"/>
      <c r="F9" s="16"/>
      <c r="G9" s="15"/>
      <c r="H9" s="15"/>
      <c r="I9" s="15"/>
      <c r="J9" s="15"/>
      <c r="K9" s="17" t="str">
        <f aca="false">IF(G9&gt;0,H9/G9,"")</f>
        <v/>
      </c>
      <c r="L9" s="31" t="str">
        <f aca="false">IF(AND(G9&gt;0,G9&gt;=$R$2),K9+ROW()/1000000000,"")</f>
        <v/>
      </c>
    </row>
    <row r="10" customFormat="false" ht="15" hidden="false" customHeight="false" outlineLevel="0" collapsed="false">
      <c r="A10" s="14"/>
      <c r="B10" s="16"/>
      <c r="C10" s="16"/>
      <c r="D10" s="16"/>
      <c r="E10" s="16"/>
      <c r="F10" s="16"/>
      <c r="G10" s="15"/>
      <c r="H10" s="15"/>
      <c r="I10" s="15"/>
      <c r="J10" s="15"/>
      <c r="K10" s="17" t="str">
        <f aca="false">IF(G10&gt;0,H10/G10,"")</f>
        <v/>
      </c>
      <c r="L10" s="31" t="str">
        <f aca="false">IF(AND(G10&gt;0,G10&gt;=$R$2),K10+ROW()/1000000000,"")</f>
        <v/>
      </c>
    </row>
    <row r="11" customFormat="false" ht="15" hidden="false" customHeight="false" outlineLevel="0" collapsed="false">
      <c r="A11" s="14"/>
      <c r="B11" s="16"/>
      <c r="C11" s="16"/>
      <c r="D11" s="16"/>
      <c r="E11" s="16"/>
      <c r="F11" s="16"/>
      <c r="G11" s="15"/>
      <c r="H11" s="15"/>
      <c r="I11" s="15"/>
      <c r="J11" s="15"/>
      <c r="K11" s="17" t="str">
        <f aca="false">IF(G11&gt;0,H11/G11,"")</f>
        <v/>
      </c>
      <c r="L11" s="31" t="str">
        <f aca="false">IF(AND(G11&gt;0,G11&gt;=$R$2),K11+ROW()/1000000000,"")</f>
        <v/>
      </c>
      <c r="N11" s="23" t="s">
        <v>92</v>
      </c>
    </row>
    <row r="12" customFormat="false" ht="31.5" hidden="false" customHeight="true" outlineLevel="0" collapsed="false">
      <c r="A12" s="14"/>
      <c r="B12" s="16"/>
      <c r="C12" s="16"/>
      <c r="D12" s="16"/>
      <c r="E12" s="16"/>
      <c r="F12" s="16"/>
      <c r="G12" s="15"/>
      <c r="H12" s="15"/>
      <c r="I12" s="15"/>
      <c r="J12" s="15"/>
      <c r="K12" s="17" t="str">
        <f aca="false">IF(G12&gt;0,H12/G12,"")</f>
        <v/>
      </c>
      <c r="L12" s="31" t="str">
        <f aca="false">IF(AND(G12&gt;0,G12&gt;=$R$2),K12+ROW()/1000000000,"")</f>
        <v/>
      </c>
      <c r="N12" s="8" t="s">
        <v>81</v>
      </c>
      <c r="O12" s="8" t="s">
        <v>53</v>
      </c>
      <c r="P12" s="8" t="s">
        <v>84</v>
      </c>
      <c r="Q12" s="8" t="s">
        <v>55</v>
      </c>
      <c r="R12" s="8" t="s">
        <v>56</v>
      </c>
      <c r="S12" s="8" t="s">
        <v>58</v>
      </c>
    </row>
    <row r="13" customFormat="false" ht="15" hidden="false" customHeight="false" outlineLevel="0" collapsed="false">
      <c r="A13" s="14"/>
      <c r="B13" s="16"/>
      <c r="C13" s="16"/>
      <c r="D13" s="16"/>
      <c r="E13" s="16"/>
      <c r="F13" s="16"/>
      <c r="G13" s="15"/>
      <c r="H13" s="15"/>
      <c r="I13" s="15"/>
      <c r="J13" s="15"/>
      <c r="K13" s="17" t="str">
        <f aca="false">IF(G13&gt;0,H13/G13,"")</f>
        <v/>
      </c>
      <c r="L13" s="31" t="str">
        <f aca="false">IF(AND(G13&gt;0,G13&gt;=$R$2),K13+ROW()/1000000000,"")</f>
        <v/>
      </c>
      <c r="N13" s="24" t="s">
        <v>89</v>
      </c>
      <c r="O13" s="25" t="n">
        <f aca="false">COUNTIF($D$5:$D$204,$N13)</f>
        <v>0</v>
      </c>
      <c r="P13" s="25" t="n">
        <f aca="false">SUMIFS($G$5:$G$204,$D$5:$D$204,$N13)</f>
        <v>0</v>
      </c>
      <c r="Q13" s="25" t="n">
        <f aca="false">SUMIFS($H$5:$H$204,$D$5:$D$204,$N13)</f>
        <v>0</v>
      </c>
      <c r="R13" s="25" t="n">
        <f aca="false">SUMIFS($I$5:$I$204,$D$5:$D$204,$N13)</f>
        <v>0</v>
      </c>
      <c r="S13" s="17" t="str">
        <f aca="false">IF(P13&gt;0,Q13/P13,"")</f>
        <v/>
      </c>
    </row>
    <row r="14" customFormat="false" ht="15" hidden="false" customHeight="false" outlineLevel="0" collapsed="false">
      <c r="A14" s="14"/>
      <c r="B14" s="16"/>
      <c r="C14" s="16"/>
      <c r="D14" s="16"/>
      <c r="E14" s="16"/>
      <c r="F14" s="16"/>
      <c r="G14" s="15"/>
      <c r="H14" s="15"/>
      <c r="I14" s="15"/>
      <c r="J14" s="15"/>
      <c r="K14" s="17" t="str">
        <f aca="false">IF(G14&gt;0,H14/G14,"")</f>
        <v/>
      </c>
      <c r="L14" s="31" t="str">
        <f aca="false">IF(AND(G14&gt;0,G14&gt;=$R$2),K14+ROW()/1000000000,"")</f>
        <v/>
      </c>
      <c r="N14" s="24" t="s">
        <v>93</v>
      </c>
      <c r="O14" s="25" t="n">
        <f aca="false">COUNTIF($D$5:$D$204,$N14)</f>
        <v>0</v>
      </c>
      <c r="P14" s="25" t="n">
        <f aca="false">SUMIFS($G$5:$G$204,$D$5:$D$204,$N14)</f>
        <v>0</v>
      </c>
      <c r="Q14" s="25" t="n">
        <f aca="false">SUMIFS($H$5:$H$204,$D$5:$D$204,$N14)</f>
        <v>0</v>
      </c>
      <c r="R14" s="25" t="n">
        <f aca="false">SUMIFS($I$5:$I$204,$D$5:$D$204,$N14)</f>
        <v>0</v>
      </c>
      <c r="S14" s="17" t="str">
        <f aca="false">IF(P14&gt;0,Q14/P14,"")</f>
        <v/>
      </c>
    </row>
    <row r="15" customFormat="false" ht="15" hidden="false" customHeight="false" outlineLevel="0" collapsed="false">
      <c r="A15" s="14"/>
      <c r="B15" s="16"/>
      <c r="C15" s="16"/>
      <c r="D15" s="16"/>
      <c r="E15" s="16"/>
      <c r="F15" s="16"/>
      <c r="G15" s="15"/>
      <c r="H15" s="15"/>
      <c r="I15" s="15"/>
      <c r="J15" s="15"/>
      <c r="K15" s="17" t="str">
        <f aca="false">IF(G15&gt;0,H15/G15,"")</f>
        <v/>
      </c>
      <c r="L15" s="31" t="str">
        <f aca="false">IF(AND(G15&gt;0,G15&gt;=$R$2),K15+ROW()/1000000000,"")</f>
        <v/>
      </c>
      <c r="N15" s="24" t="s">
        <v>94</v>
      </c>
      <c r="O15" s="25" t="n">
        <f aca="false">COUNTIF($D$5:$D$204,$N15)</f>
        <v>0</v>
      </c>
      <c r="P15" s="25" t="n">
        <f aca="false">SUMIFS($G$5:$G$204,$D$5:$D$204,$N15)</f>
        <v>0</v>
      </c>
      <c r="Q15" s="25" t="n">
        <f aca="false">SUMIFS($H$5:$H$204,$D$5:$D$204,$N15)</f>
        <v>0</v>
      </c>
      <c r="R15" s="25" t="n">
        <f aca="false">SUMIFS($I$5:$I$204,$D$5:$D$204,$N15)</f>
        <v>0</v>
      </c>
      <c r="S15" s="17" t="str">
        <f aca="false">IF(P15&gt;0,Q15/P15,"")</f>
        <v/>
      </c>
    </row>
    <row r="16" customFormat="false" ht="15" hidden="false" customHeight="false" outlineLevel="0" collapsed="false">
      <c r="A16" s="14"/>
      <c r="B16" s="16"/>
      <c r="C16" s="16"/>
      <c r="D16" s="16"/>
      <c r="E16" s="16"/>
      <c r="F16" s="16"/>
      <c r="G16" s="15"/>
      <c r="H16" s="15"/>
      <c r="I16" s="15"/>
      <c r="J16" s="15"/>
      <c r="K16" s="17" t="str">
        <f aca="false">IF(G16&gt;0,H16/G16,"")</f>
        <v/>
      </c>
      <c r="L16" s="31" t="str">
        <f aca="false">IF(AND(G16&gt;0,G16&gt;=$R$2),K16+ROW()/1000000000,"")</f>
        <v/>
      </c>
      <c r="N16" s="24" t="s">
        <v>95</v>
      </c>
      <c r="O16" s="25" t="n">
        <f aca="false">COUNTIF($D$5:$D$204,$N16)</f>
        <v>0</v>
      </c>
      <c r="P16" s="25" t="n">
        <f aca="false">SUMIFS($G$5:$G$204,$D$5:$D$204,$N16)</f>
        <v>0</v>
      </c>
      <c r="Q16" s="25" t="n">
        <f aca="false">SUMIFS($H$5:$H$204,$D$5:$D$204,$N16)</f>
        <v>0</v>
      </c>
      <c r="R16" s="25" t="n">
        <f aca="false">SUMIFS($I$5:$I$204,$D$5:$D$204,$N16)</f>
        <v>0</v>
      </c>
      <c r="S16" s="17" t="str">
        <f aca="false">IF(P16&gt;0,Q16/P16,"")</f>
        <v/>
      </c>
    </row>
    <row r="17" customFormat="false" ht="15" hidden="false" customHeight="false" outlineLevel="0" collapsed="false">
      <c r="A17" s="14"/>
      <c r="B17" s="16"/>
      <c r="C17" s="16"/>
      <c r="D17" s="16"/>
      <c r="E17" s="16"/>
      <c r="F17" s="16"/>
      <c r="G17" s="15"/>
      <c r="H17" s="15"/>
      <c r="I17" s="15"/>
      <c r="J17" s="15"/>
      <c r="K17" s="17" t="str">
        <f aca="false">IF(G17&gt;0,H17/G17,"")</f>
        <v/>
      </c>
      <c r="L17" s="31" t="str">
        <f aca="false">IF(AND(G17&gt;0,G17&gt;=$R$2),K17+ROW()/1000000000,"")</f>
        <v/>
      </c>
      <c r="N17" s="24" t="s">
        <v>96</v>
      </c>
      <c r="O17" s="25" t="n">
        <f aca="false">COUNTIF($D$5:$D$204,$N17)</f>
        <v>0</v>
      </c>
      <c r="P17" s="25" t="n">
        <f aca="false">SUMIFS($G$5:$G$204,$D$5:$D$204,$N17)</f>
        <v>0</v>
      </c>
      <c r="Q17" s="25" t="n">
        <f aca="false">SUMIFS($H$5:$H$204,$D$5:$D$204,$N17)</f>
        <v>0</v>
      </c>
      <c r="R17" s="25" t="n">
        <f aca="false">SUMIFS($I$5:$I$204,$D$5:$D$204,$N17)</f>
        <v>0</v>
      </c>
      <c r="S17" s="17" t="str">
        <f aca="false">IF(P17&gt;0,Q17/P17,"")</f>
        <v/>
      </c>
    </row>
    <row r="18" customFormat="false" ht="15" hidden="false" customHeight="false" outlineLevel="0" collapsed="false">
      <c r="A18" s="14"/>
      <c r="B18" s="16"/>
      <c r="C18" s="16"/>
      <c r="D18" s="16"/>
      <c r="E18" s="16"/>
      <c r="F18" s="16"/>
      <c r="G18" s="15"/>
      <c r="H18" s="15"/>
      <c r="I18" s="15"/>
      <c r="J18" s="15"/>
      <c r="K18" s="17" t="str">
        <f aca="false">IF(G18&gt;0,H18/G18,"")</f>
        <v/>
      </c>
      <c r="L18" s="31" t="str">
        <f aca="false">IF(AND(G18&gt;0,G18&gt;=$R$2),K18+ROW()/1000000000,"")</f>
        <v/>
      </c>
      <c r="N18" s="24" t="s">
        <v>97</v>
      </c>
      <c r="O18" s="25" t="n">
        <f aca="false">COUNTIF($D$5:$D$204,$N18)</f>
        <v>0</v>
      </c>
      <c r="P18" s="25" t="n">
        <f aca="false">SUMIFS($G$5:$G$204,$D$5:$D$204,$N18)</f>
        <v>0</v>
      </c>
      <c r="Q18" s="25" t="n">
        <f aca="false">SUMIFS($H$5:$H$204,$D$5:$D$204,$N18)</f>
        <v>0</v>
      </c>
      <c r="R18" s="25" t="n">
        <f aca="false">SUMIFS($I$5:$I$204,$D$5:$D$204,$N18)</f>
        <v>0</v>
      </c>
      <c r="S18" s="17" t="str">
        <f aca="false">IF(P18&gt;0,Q18/P18,"")</f>
        <v/>
      </c>
    </row>
    <row r="19" customFormat="false" ht="15" hidden="false" customHeight="false" outlineLevel="0" collapsed="false">
      <c r="A19" s="14"/>
      <c r="B19" s="16"/>
      <c r="C19" s="16"/>
      <c r="D19" s="16"/>
      <c r="E19" s="16"/>
      <c r="F19" s="16"/>
      <c r="G19" s="15"/>
      <c r="H19" s="15"/>
      <c r="I19" s="15"/>
      <c r="J19" s="15"/>
      <c r="K19" s="17" t="str">
        <f aca="false">IF(G19&gt;0,H19/G19,"")</f>
        <v/>
      </c>
      <c r="L19" s="31" t="str">
        <f aca="false">IF(AND(G19&gt;0,G19&gt;=$R$2),K19+ROW()/1000000000,"")</f>
        <v/>
      </c>
      <c r="N19" s="24" t="s">
        <v>98</v>
      </c>
      <c r="O19" s="25" t="n">
        <f aca="false">COUNTIF($D$5:$D$204,$N19)</f>
        <v>0</v>
      </c>
      <c r="P19" s="25" t="n">
        <f aca="false">SUMIFS($G$5:$G$204,$D$5:$D$204,$N19)</f>
        <v>0</v>
      </c>
      <c r="Q19" s="25" t="n">
        <f aca="false">SUMIFS($H$5:$H$204,$D$5:$D$204,$N19)</f>
        <v>0</v>
      </c>
      <c r="R19" s="25" t="n">
        <f aca="false">SUMIFS($I$5:$I$204,$D$5:$D$204,$N19)</f>
        <v>0</v>
      </c>
      <c r="S19" s="17" t="str">
        <f aca="false">IF(P19&gt;0,Q19/P19,"")</f>
        <v/>
      </c>
    </row>
    <row r="20" customFormat="false" ht="15" hidden="false" customHeight="false" outlineLevel="0" collapsed="false">
      <c r="A20" s="14"/>
      <c r="B20" s="16"/>
      <c r="C20" s="16"/>
      <c r="D20" s="16"/>
      <c r="E20" s="16"/>
      <c r="F20" s="16"/>
      <c r="G20" s="15"/>
      <c r="H20" s="15"/>
      <c r="I20" s="15"/>
      <c r="J20" s="15"/>
      <c r="K20" s="17" t="str">
        <f aca="false">IF(G20&gt;0,H20/G20,"")</f>
        <v/>
      </c>
      <c r="L20" s="31" t="str">
        <f aca="false">IF(AND(G20&gt;0,G20&gt;=$R$2),K20+ROW()/1000000000,"")</f>
        <v/>
      </c>
      <c r="N20" s="19" t="s">
        <v>60</v>
      </c>
      <c r="O20" s="20" t="n">
        <f aca="false">SUM(O13:O19)</f>
        <v>0</v>
      </c>
      <c r="P20" s="20" t="n">
        <f aca="false">SUM(P13:P19)</f>
        <v>0</v>
      </c>
      <c r="Q20" s="20" t="n">
        <f aca="false">SUM(Q13:Q19)</f>
        <v>0</v>
      </c>
      <c r="R20" s="20" t="n">
        <f aca="false">SUM(R13:R19)</f>
        <v>0</v>
      </c>
      <c r="S20" s="21" t="str">
        <f aca="false">IF(P20&gt;0,Q20/P20,"")</f>
        <v/>
      </c>
    </row>
    <row r="21" customFormat="false" ht="15" hidden="false" customHeight="false" outlineLevel="0" collapsed="false">
      <c r="A21" s="14"/>
      <c r="B21" s="16"/>
      <c r="C21" s="16"/>
      <c r="D21" s="16"/>
      <c r="E21" s="16"/>
      <c r="F21" s="16"/>
      <c r="G21" s="15"/>
      <c r="H21" s="15"/>
      <c r="I21" s="15"/>
      <c r="J21" s="15"/>
      <c r="K21" s="17" t="str">
        <f aca="false">IF(G21&gt;0,H21/G21,"")</f>
        <v/>
      </c>
      <c r="L21" s="31" t="str">
        <f aca="false">IF(AND(G21&gt;0,G21&gt;=$R$2),K21+ROW()/1000000000,"")</f>
        <v/>
      </c>
    </row>
    <row r="22" customFormat="false" ht="15" hidden="false" customHeight="false" outlineLevel="0" collapsed="false">
      <c r="A22" s="14"/>
      <c r="B22" s="16"/>
      <c r="C22" s="16"/>
      <c r="D22" s="16"/>
      <c r="E22" s="16"/>
      <c r="F22" s="16"/>
      <c r="G22" s="15"/>
      <c r="H22" s="15"/>
      <c r="I22" s="15"/>
      <c r="J22" s="15"/>
      <c r="K22" s="17" t="str">
        <f aca="false">IF(G22&gt;0,H22/G22,"")</f>
        <v/>
      </c>
      <c r="L22" s="31" t="str">
        <f aca="false">IF(AND(G22&gt;0,G22&gt;=$R$2),K22+ROW()/1000000000,"")</f>
        <v/>
      </c>
      <c r="N22" s="7" t="s">
        <v>99</v>
      </c>
    </row>
    <row r="23" customFormat="false" ht="15" hidden="false" customHeight="false" outlineLevel="0" collapsed="false">
      <c r="A23" s="14"/>
      <c r="B23" s="16"/>
      <c r="C23" s="16"/>
      <c r="D23" s="16"/>
      <c r="E23" s="16"/>
      <c r="F23" s="16"/>
      <c r="G23" s="15"/>
      <c r="H23" s="15"/>
      <c r="I23" s="15"/>
      <c r="J23" s="15"/>
      <c r="K23" s="17" t="str">
        <f aca="false">IF(G23&gt;0,H23/G23,"")</f>
        <v/>
      </c>
      <c r="L23" s="31" t="str">
        <f aca="false">IF(AND(G23&gt;0,G23&gt;=$R$2),K23+ROW()/1000000000,"")</f>
        <v/>
      </c>
    </row>
    <row r="24" customFormat="false" ht="15" hidden="false" customHeight="false" outlineLevel="0" collapsed="false">
      <c r="A24" s="14"/>
      <c r="B24" s="16"/>
      <c r="C24" s="16"/>
      <c r="D24" s="16"/>
      <c r="E24" s="16"/>
      <c r="F24" s="16"/>
      <c r="G24" s="15"/>
      <c r="H24" s="15"/>
      <c r="I24" s="15"/>
      <c r="J24" s="15"/>
      <c r="K24" s="17" t="str">
        <f aca="false">IF(G24&gt;0,H24/G24,"")</f>
        <v/>
      </c>
      <c r="L24" s="31" t="str">
        <f aca="false">IF(AND(G24&gt;0,G24&gt;=$R$2),K24+ROW()/1000000000,"")</f>
        <v/>
      </c>
    </row>
    <row r="25" customFormat="false" ht="15" hidden="false" customHeight="false" outlineLevel="0" collapsed="false">
      <c r="A25" s="14"/>
      <c r="B25" s="16"/>
      <c r="C25" s="16"/>
      <c r="D25" s="16"/>
      <c r="E25" s="16"/>
      <c r="F25" s="16"/>
      <c r="G25" s="15"/>
      <c r="H25" s="15"/>
      <c r="I25" s="15"/>
      <c r="J25" s="15"/>
      <c r="K25" s="17" t="str">
        <f aca="false">IF(G25&gt;0,H25/G25,"")</f>
        <v/>
      </c>
      <c r="L25" s="31" t="str">
        <f aca="false">IF(AND(G25&gt;0,G25&gt;=$R$2),K25+ROW()/1000000000,"")</f>
        <v/>
      </c>
    </row>
    <row r="26" customFormat="false" ht="15" hidden="false" customHeight="false" outlineLevel="0" collapsed="false">
      <c r="A26" s="14"/>
      <c r="B26" s="16"/>
      <c r="C26" s="16"/>
      <c r="D26" s="16"/>
      <c r="E26" s="16"/>
      <c r="F26" s="16"/>
      <c r="G26" s="15"/>
      <c r="H26" s="15"/>
      <c r="I26" s="15"/>
      <c r="J26" s="15"/>
      <c r="K26" s="17" t="str">
        <f aca="false">IF(G26&gt;0,H26/G26,"")</f>
        <v/>
      </c>
      <c r="L26" s="31" t="str">
        <f aca="false">IF(AND(G26&gt;0,G26&gt;=$R$2),K26+ROW()/1000000000,"")</f>
        <v/>
      </c>
    </row>
    <row r="27" customFormat="false" ht="15" hidden="false" customHeight="false" outlineLevel="0" collapsed="false">
      <c r="A27" s="14"/>
      <c r="B27" s="16"/>
      <c r="C27" s="16"/>
      <c r="D27" s="16"/>
      <c r="E27" s="16"/>
      <c r="F27" s="16"/>
      <c r="G27" s="15"/>
      <c r="H27" s="15"/>
      <c r="I27" s="15"/>
      <c r="J27" s="15"/>
      <c r="K27" s="17" t="str">
        <f aca="false">IF(G27&gt;0,H27/G27,"")</f>
        <v/>
      </c>
      <c r="L27" s="31" t="str">
        <f aca="false">IF(AND(G27&gt;0,G27&gt;=$R$2),K27+ROW()/1000000000,"")</f>
        <v/>
      </c>
    </row>
    <row r="28" customFormat="false" ht="15" hidden="false" customHeight="false" outlineLevel="0" collapsed="false">
      <c r="A28" s="14"/>
      <c r="B28" s="16"/>
      <c r="C28" s="16"/>
      <c r="D28" s="16"/>
      <c r="E28" s="16"/>
      <c r="F28" s="16"/>
      <c r="G28" s="15"/>
      <c r="H28" s="15"/>
      <c r="I28" s="15"/>
      <c r="J28" s="15"/>
      <c r="K28" s="17" t="str">
        <f aca="false">IF(G28&gt;0,H28/G28,"")</f>
        <v/>
      </c>
      <c r="L28" s="31" t="str">
        <f aca="false">IF(AND(G28&gt;0,G28&gt;=$R$2),K28+ROW()/1000000000,"")</f>
        <v/>
      </c>
    </row>
    <row r="29" customFormat="false" ht="15" hidden="false" customHeight="false" outlineLevel="0" collapsed="false">
      <c r="A29" s="14"/>
      <c r="B29" s="16"/>
      <c r="C29" s="16"/>
      <c r="D29" s="16"/>
      <c r="E29" s="16"/>
      <c r="F29" s="16"/>
      <c r="G29" s="15"/>
      <c r="H29" s="15"/>
      <c r="I29" s="15"/>
      <c r="J29" s="15"/>
      <c r="K29" s="17" t="str">
        <f aca="false">IF(G29&gt;0,H29/G29,"")</f>
        <v/>
      </c>
      <c r="L29" s="31" t="str">
        <f aca="false">IF(AND(G29&gt;0,G29&gt;=$R$2),K29+ROW()/1000000000,"")</f>
        <v/>
      </c>
    </row>
    <row r="30" customFormat="false" ht="15" hidden="false" customHeight="false" outlineLevel="0" collapsed="false">
      <c r="A30" s="14"/>
      <c r="B30" s="16"/>
      <c r="C30" s="16"/>
      <c r="D30" s="16"/>
      <c r="E30" s="16"/>
      <c r="F30" s="16"/>
      <c r="G30" s="15"/>
      <c r="H30" s="15"/>
      <c r="I30" s="15"/>
      <c r="J30" s="15"/>
      <c r="K30" s="17" t="str">
        <f aca="false">IF(G30&gt;0,H30/G30,"")</f>
        <v/>
      </c>
      <c r="L30" s="31" t="str">
        <f aca="false">IF(AND(G30&gt;0,G30&gt;=$R$2),K30+ROW()/1000000000,"")</f>
        <v/>
      </c>
    </row>
    <row r="31" customFormat="false" ht="15" hidden="false" customHeight="false" outlineLevel="0" collapsed="false">
      <c r="A31" s="14"/>
      <c r="B31" s="16"/>
      <c r="C31" s="16"/>
      <c r="D31" s="16"/>
      <c r="E31" s="16"/>
      <c r="F31" s="16"/>
      <c r="G31" s="15"/>
      <c r="H31" s="15"/>
      <c r="I31" s="15"/>
      <c r="J31" s="15"/>
      <c r="K31" s="17" t="str">
        <f aca="false">IF(G31&gt;0,H31/G31,"")</f>
        <v/>
      </c>
      <c r="L31" s="31" t="str">
        <f aca="false">IF(AND(G31&gt;0,G31&gt;=$R$2),K31+ROW()/1000000000,"")</f>
        <v/>
      </c>
    </row>
    <row r="32" customFormat="false" ht="15" hidden="false" customHeight="false" outlineLevel="0" collapsed="false">
      <c r="A32" s="14"/>
      <c r="B32" s="16"/>
      <c r="C32" s="16"/>
      <c r="D32" s="16"/>
      <c r="E32" s="16"/>
      <c r="F32" s="16"/>
      <c r="G32" s="15"/>
      <c r="H32" s="15"/>
      <c r="I32" s="15"/>
      <c r="J32" s="15"/>
      <c r="K32" s="17" t="str">
        <f aca="false">IF(G32&gt;0,H32/G32,"")</f>
        <v/>
      </c>
      <c r="L32" s="31" t="str">
        <f aca="false">IF(AND(G32&gt;0,G32&gt;=$R$2),K32+ROW()/1000000000,"")</f>
        <v/>
      </c>
    </row>
    <row r="33" customFormat="false" ht="15" hidden="false" customHeight="false" outlineLevel="0" collapsed="false">
      <c r="A33" s="14"/>
      <c r="B33" s="16"/>
      <c r="C33" s="16"/>
      <c r="D33" s="16"/>
      <c r="E33" s="16"/>
      <c r="F33" s="16"/>
      <c r="G33" s="15"/>
      <c r="H33" s="15"/>
      <c r="I33" s="15"/>
      <c r="J33" s="15"/>
      <c r="K33" s="17" t="str">
        <f aca="false">IF(G33&gt;0,H33/G33,"")</f>
        <v/>
      </c>
      <c r="L33" s="31" t="str">
        <f aca="false">IF(AND(G33&gt;0,G33&gt;=$R$2),K33+ROW()/1000000000,"")</f>
        <v/>
      </c>
    </row>
    <row r="34" customFormat="false" ht="15" hidden="false" customHeight="false" outlineLevel="0" collapsed="false">
      <c r="A34" s="14"/>
      <c r="B34" s="16"/>
      <c r="C34" s="16"/>
      <c r="D34" s="16"/>
      <c r="E34" s="16"/>
      <c r="F34" s="16"/>
      <c r="G34" s="15"/>
      <c r="H34" s="15"/>
      <c r="I34" s="15"/>
      <c r="J34" s="15"/>
      <c r="K34" s="17" t="str">
        <f aca="false">IF(G34&gt;0,H34/G34,"")</f>
        <v/>
      </c>
      <c r="L34" s="31" t="str">
        <f aca="false">IF(AND(G34&gt;0,G34&gt;=$R$2),K34+ROW()/1000000000,"")</f>
        <v/>
      </c>
    </row>
    <row r="35" customFormat="false" ht="15" hidden="false" customHeight="false" outlineLevel="0" collapsed="false">
      <c r="A35" s="14"/>
      <c r="B35" s="16"/>
      <c r="C35" s="16"/>
      <c r="D35" s="16"/>
      <c r="E35" s="16"/>
      <c r="F35" s="16"/>
      <c r="G35" s="15"/>
      <c r="H35" s="15"/>
      <c r="I35" s="15"/>
      <c r="J35" s="15"/>
      <c r="K35" s="17" t="str">
        <f aca="false">IF(G35&gt;0,H35/G35,"")</f>
        <v/>
      </c>
      <c r="L35" s="31" t="str">
        <f aca="false">IF(AND(G35&gt;0,G35&gt;=$R$2),K35+ROW()/1000000000,"")</f>
        <v/>
      </c>
    </row>
    <row r="36" customFormat="false" ht="15" hidden="false" customHeight="false" outlineLevel="0" collapsed="false">
      <c r="A36" s="14"/>
      <c r="B36" s="16"/>
      <c r="C36" s="16"/>
      <c r="D36" s="16"/>
      <c r="E36" s="16"/>
      <c r="F36" s="16"/>
      <c r="G36" s="15"/>
      <c r="H36" s="15"/>
      <c r="I36" s="15"/>
      <c r="J36" s="15"/>
      <c r="K36" s="17" t="str">
        <f aca="false">IF(G36&gt;0,H36/G36,"")</f>
        <v/>
      </c>
      <c r="L36" s="31" t="str">
        <f aca="false">IF(AND(G36&gt;0,G36&gt;=$R$2),K36+ROW()/1000000000,"")</f>
        <v/>
      </c>
    </row>
    <row r="37" customFormat="false" ht="15" hidden="false" customHeight="false" outlineLevel="0" collapsed="false">
      <c r="A37" s="14"/>
      <c r="B37" s="16"/>
      <c r="C37" s="16"/>
      <c r="D37" s="16"/>
      <c r="E37" s="16"/>
      <c r="F37" s="16"/>
      <c r="G37" s="15"/>
      <c r="H37" s="15"/>
      <c r="I37" s="15"/>
      <c r="J37" s="15"/>
      <c r="K37" s="17" t="str">
        <f aca="false">IF(G37&gt;0,H37/G37,"")</f>
        <v/>
      </c>
      <c r="L37" s="31" t="str">
        <f aca="false">IF(AND(G37&gt;0,G37&gt;=$R$2),K37+ROW()/1000000000,"")</f>
        <v/>
      </c>
    </row>
    <row r="38" customFormat="false" ht="15" hidden="false" customHeight="false" outlineLevel="0" collapsed="false">
      <c r="A38" s="14"/>
      <c r="B38" s="16"/>
      <c r="C38" s="16"/>
      <c r="D38" s="16"/>
      <c r="E38" s="16"/>
      <c r="F38" s="16"/>
      <c r="G38" s="15"/>
      <c r="H38" s="15"/>
      <c r="I38" s="15"/>
      <c r="J38" s="15"/>
      <c r="K38" s="17" t="str">
        <f aca="false">IF(G38&gt;0,H38/G38,"")</f>
        <v/>
      </c>
      <c r="L38" s="31" t="str">
        <f aca="false">IF(AND(G38&gt;0,G38&gt;=$R$2),K38+ROW()/1000000000,"")</f>
        <v/>
      </c>
    </row>
    <row r="39" customFormat="false" ht="15" hidden="false" customHeight="false" outlineLevel="0" collapsed="false">
      <c r="A39" s="14"/>
      <c r="B39" s="16"/>
      <c r="C39" s="16"/>
      <c r="D39" s="16"/>
      <c r="E39" s="16"/>
      <c r="F39" s="16"/>
      <c r="G39" s="15"/>
      <c r="H39" s="15"/>
      <c r="I39" s="15"/>
      <c r="J39" s="15"/>
      <c r="K39" s="17" t="str">
        <f aca="false">IF(G39&gt;0,H39/G39,"")</f>
        <v/>
      </c>
      <c r="L39" s="31" t="str">
        <f aca="false">IF(AND(G39&gt;0,G39&gt;=$R$2),K39+ROW()/1000000000,"")</f>
        <v/>
      </c>
    </row>
    <row r="40" customFormat="false" ht="15" hidden="false" customHeight="false" outlineLevel="0" collapsed="false">
      <c r="A40" s="14"/>
      <c r="B40" s="16"/>
      <c r="C40" s="16"/>
      <c r="D40" s="16"/>
      <c r="E40" s="16"/>
      <c r="F40" s="16"/>
      <c r="G40" s="15"/>
      <c r="H40" s="15"/>
      <c r="I40" s="15"/>
      <c r="J40" s="15"/>
      <c r="K40" s="17" t="str">
        <f aca="false">IF(G40&gt;0,H40/G40,"")</f>
        <v/>
      </c>
      <c r="L40" s="31" t="str">
        <f aca="false">IF(AND(G40&gt;0,G40&gt;=$R$2),K40+ROW()/1000000000,"")</f>
        <v/>
      </c>
    </row>
    <row r="41" customFormat="false" ht="15" hidden="false" customHeight="false" outlineLevel="0" collapsed="false">
      <c r="A41" s="14"/>
      <c r="B41" s="16"/>
      <c r="C41" s="16"/>
      <c r="D41" s="16"/>
      <c r="E41" s="16"/>
      <c r="F41" s="16"/>
      <c r="G41" s="15"/>
      <c r="H41" s="15"/>
      <c r="I41" s="15"/>
      <c r="J41" s="15"/>
      <c r="K41" s="17" t="str">
        <f aca="false">IF(G41&gt;0,H41/G41,"")</f>
        <v/>
      </c>
      <c r="L41" s="31" t="str">
        <f aca="false">IF(AND(G41&gt;0,G41&gt;=$R$2),K41+ROW()/1000000000,"")</f>
        <v/>
      </c>
    </row>
    <row r="42" customFormat="false" ht="15" hidden="false" customHeight="false" outlineLevel="0" collapsed="false">
      <c r="A42" s="14"/>
      <c r="B42" s="16"/>
      <c r="C42" s="16"/>
      <c r="D42" s="16"/>
      <c r="E42" s="16"/>
      <c r="F42" s="16"/>
      <c r="G42" s="15"/>
      <c r="H42" s="15"/>
      <c r="I42" s="15"/>
      <c r="J42" s="15"/>
      <c r="K42" s="17" t="str">
        <f aca="false">IF(G42&gt;0,H42/G42,"")</f>
        <v/>
      </c>
      <c r="L42" s="31" t="str">
        <f aca="false">IF(AND(G42&gt;0,G42&gt;=$R$2),K42+ROW()/1000000000,"")</f>
        <v/>
      </c>
    </row>
    <row r="43" customFormat="false" ht="15" hidden="false" customHeight="false" outlineLevel="0" collapsed="false">
      <c r="A43" s="14"/>
      <c r="B43" s="16"/>
      <c r="C43" s="16"/>
      <c r="D43" s="16"/>
      <c r="E43" s="16"/>
      <c r="F43" s="16"/>
      <c r="G43" s="15"/>
      <c r="H43" s="15"/>
      <c r="I43" s="15"/>
      <c r="J43" s="15"/>
      <c r="K43" s="17" t="str">
        <f aca="false">IF(G43&gt;0,H43/G43,"")</f>
        <v/>
      </c>
      <c r="L43" s="31" t="str">
        <f aca="false">IF(AND(G43&gt;0,G43&gt;=$R$2),K43+ROW()/1000000000,"")</f>
        <v/>
      </c>
    </row>
    <row r="44" customFormat="false" ht="15" hidden="false" customHeight="false" outlineLevel="0" collapsed="false">
      <c r="A44" s="14"/>
      <c r="B44" s="16"/>
      <c r="C44" s="16"/>
      <c r="D44" s="16"/>
      <c r="E44" s="16"/>
      <c r="F44" s="16"/>
      <c r="G44" s="15"/>
      <c r="H44" s="15"/>
      <c r="I44" s="15"/>
      <c r="J44" s="15"/>
      <c r="K44" s="17" t="str">
        <f aca="false">IF(G44&gt;0,H44/G44,"")</f>
        <v/>
      </c>
      <c r="L44" s="31" t="str">
        <f aca="false">IF(AND(G44&gt;0,G44&gt;=$R$2),K44+ROW()/1000000000,"")</f>
        <v/>
      </c>
    </row>
    <row r="45" customFormat="false" ht="15" hidden="false" customHeight="false" outlineLevel="0" collapsed="false">
      <c r="A45" s="14"/>
      <c r="B45" s="16"/>
      <c r="C45" s="16"/>
      <c r="D45" s="16"/>
      <c r="E45" s="16"/>
      <c r="F45" s="16"/>
      <c r="G45" s="15"/>
      <c r="H45" s="15"/>
      <c r="I45" s="15"/>
      <c r="J45" s="15"/>
      <c r="K45" s="17" t="str">
        <f aca="false">IF(G45&gt;0,H45/G45,"")</f>
        <v/>
      </c>
      <c r="L45" s="31" t="str">
        <f aca="false">IF(AND(G45&gt;0,G45&gt;=$R$2),K45+ROW()/1000000000,"")</f>
        <v/>
      </c>
    </row>
    <row r="46" customFormat="false" ht="15" hidden="false" customHeight="false" outlineLevel="0" collapsed="false">
      <c r="A46" s="14"/>
      <c r="B46" s="16"/>
      <c r="C46" s="16"/>
      <c r="D46" s="16"/>
      <c r="E46" s="16"/>
      <c r="F46" s="16"/>
      <c r="G46" s="15"/>
      <c r="H46" s="15"/>
      <c r="I46" s="15"/>
      <c r="J46" s="15"/>
      <c r="K46" s="17" t="str">
        <f aca="false">IF(G46&gt;0,H46/G46,"")</f>
        <v/>
      </c>
      <c r="L46" s="31" t="str">
        <f aca="false">IF(AND(G46&gt;0,G46&gt;=$R$2),K46+ROW()/1000000000,"")</f>
        <v/>
      </c>
    </row>
    <row r="47" customFormat="false" ht="15" hidden="false" customHeight="false" outlineLevel="0" collapsed="false">
      <c r="A47" s="14"/>
      <c r="B47" s="16"/>
      <c r="C47" s="16"/>
      <c r="D47" s="16"/>
      <c r="E47" s="16"/>
      <c r="F47" s="16"/>
      <c r="G47" s="15"/>
      <c r="H47" s="15"/>
      <c r="I47" s="15"/>
      <c r="J47" s="15"/>
      <c r="K47" s="17" t="str">
        <f aca="false">IF(G47&gt;0,H47/G47,"")</f>
        <v/>
      </c>
      <c r="L47" s="31" t="str">
        <f aca="false">IF(AND(G47&gt;0,G47&gt;=$R$2),K47+ROW()/1000000000,"")</f>
        <v/>
      </c>
    </row>
    <row r="48" customFormat="false" ht="15" hidden="false" customHeight="false" outlineLevel="0" collapsed="false">
      <c r="A48" s="14"/>
      <c r="B48" s="16"/>
      <c r="C48" s="16"/>
      <c r="D48" s="16"/>
      <c r="E48" s="16"/>
      <c r="F48" s="16"/>
      <c r="G48" s="15"/>
      <c r="H48" s="15"/>
      <c r="I48" s="15"/>
      <c r="J48" s="15"/>
      <c r="K48" s="17" t="str">
        <f aca="false">IF(G48&gt;0,H48/G48,"")</f>
        <v/>
      </c>
      <c r="L48" s="31" t="str">
        <f aca="false">IF(AND(G48&gt;0,G48&gt;=$R$2),K48+ROW()/1000000000,"")</f>
        <v/>
      </c>
    </row>
    <row r="49" customFormat="false" ht="15" hidden="false" customHeight="false" outlineLevel="0" collapsed="false">
      <c r="A49" s="14"/>
      <c r="B49" s="16"/>
      <c r="C49" s="16"/>
      <c r="D49" s="16"/>
      <c r="E49" s="16"/>
      <c r="F49" s="16"/>
      <c r="G49" s="15"/>
      <c r="H49" s="15"/>
      <c r="I49" s="15"/>
      <c r="J49" s="15"/>
      <c r="K49" s="17" t="str">
        <f aca="false">IF(G49&gt;0,H49/G49,"")</f>
        <v/>
      </c>
      <c r="L49" s="31" t="str">
        <f aca="false">IF(AND(G49&gt;0,G49&gt;=$R$2),K49+ROW()/1000000000,"")</f>
        <v/>
      </c>
    </row>
    <row r="50" customFormat="false" ht="15" hidden="false" customHeight="false" outlineLevel="0" collapsed="false">
      <c r="A50" s="14"/>
      <c r="B50" s="16"/>
      <c r="C50" s="16"/>
      <c r="D50" s="16"/>
      <c r="E50" s="16"/>
      <c r="F50" s="16"/>
      <c r="G50" s="15"/>
      <c r="H50" s="15"/>
      <c r="I50" s="15"/>
      <c r="J50" s="15"/>
      <c r="K50" s="17" t="str">
        <f aca="false">IF(G50&gt;0,H50/G50,"")</f>
        <v/>
      </c>
      <c r="L50" s="31" t="str">
        <f aca="false">IF(AND(G50&gt;0,G50&gt;=$R$2),K50+ROW()/1000000000,"")</f>
        <v/>
      </c>
    </row>
    <row r="51" customFormat="false" ht="15" hidden="false" customHeight="false" outlineLevel="0" collapsed="false">
      <c r="A51" s="14"/>
      <c r="B51" s="16"/>
      <c r="C51" s="16"/>
      <c r="D51" s="16"/>
      <c r="E51" s="16"/>
      <c r="F51" s="16"/>
      <c r="G51" s="15"/>
      <c r="H51" s="15"/>
      <c r="I51" s="15"/>
      <c r="J51" s="15"/>
      <c r="K51" s="17" t="str">
        <f aca="false">IF(G51&gt;0,H51/G51,"")</f>
        <v/>
      </c>
      <c r="L51" s="31" t="str">
        <f aca="false">IF(AND(G51&gt;0,G51&gt;=$R$2),K51+ROW()/1000000000,"")</f>
        <v/>
      </c>
    </row>
    <row r="52" customFormat="false" ht="15" hidden="false" customHeight="false" outlineLevel="0" collapsed="false">
      <c r="A52" s="14"/>
      <c r="B52" s="16"/>
      <c r="C52" s="16"/>
      <c r="D52" s="16"/>
      <c r="E52" s="16"/>
      <c r="F52" s="16"/>
      <c r="G52" s="15"/>
      <c r="H52" s="15"/>
      <c r="I52" s="15"/>
      <c r="J52" s="15"/>
      <c r="K52" s="17" t="str">
        <f aca="false">IF(G52&gt;0,H52/G52,"")</f>
        <v/>
      </c>
      <c r="L52" s="31" t="str">
        <f aca="false">IF(AND(G52&gt;0,G52&gt;=$R$2),K52+ROW()/1000000000,"")</f>
        <v/>
      </c>
    </row>
    <row r="53" customFormat="false" ht="15" hidden="false" customHeight="false" outlineLevel="0" collapsed="false">
      <c r="A53" s="14"/>
      <c r="B53" s="16"/>
      <c r="C53" s="16"/>
      <c r="D53" s="16"/>
      <c r="E53" s="16"/>
      <c r="F53" s="16"/>
      <c r="G53" s="15"/>
      <c r="H53" s="15"/>
      <c r="I53" s="15"/>
      <c r="J53" s="15"/>
      <c r="K53" s="17" t="str">
        <f aca="false">IF(G53&gt;0,H53/G53,"")</f>
        <v/>
      </c>
      <c r="L53" s="31" t="str">
        <f aca="false">IF(AND(G53&gt;0,G53&gt;=$R$2),K53+ROW()/1000000000,"")</f>
        <v/>
      </c>
    </row>
    <row r="54" customFormat="false" ht="15" hidden="false" customHeight="false" outlineLevel="0" collapsed="false">
      <c r="A54" s="14"/>
      <c r="B54" s="16"/>
      <c r="C54" s="16"/>
      <c r="D54" s="16"/>
      <c r="E54" s="16"/>
      <c r="F54" s="16"/>
      <c r="G54" s="15"/>
      <c r="H54" s="15"/>
      <c r="I54" s="15"/>
      <c r="J54" s="15"/>
      <c r="K54" s="17" t="str">
        <f aca="false">IF(G54&gt;0,H54/G54,"")</f>
        <v/>
      </c>
      <c r="L54" s="31" t="str">
        <f aca="false">IF(AND(G54&gt;0,G54&gt;=$R$2),K54+ROW()/1000000000,"")</f>
        <v/>
      </c>
    </row>
    <row r="55" customFormat="false" ht="15" hidden="false" customHeight="false" outlineLevel="0" collapsed="false">
      <c r="A55" s="14"/>
      <c r="B55" s="16"/>
      <c r="C55" s="16"/>
      <c r="D55" s="16"/>
      <c r="E55" s="16"/>
      <c r="F55" s="16"/>
      <c r="G55" s="15"/>
      <c r="H55" s="15"/>
      <c r="I55" s="15"/>
      <c r="J55" s="15"/>
      <c r="K55" s="17" t="str">
        <f aca="false">IF(G55&gt;0,H55/G55,"")</f>
        <v/>
      </c>
      <c r="L55" s="31" t="str">
        <f aca="false">IF(AND(G55&gt;0,G55&gt;=$R$2),K55+ROW()/1000000000,"")</f>
        <v/>
      </c>
    </row>
    <row r="56" customFormat="false" ht="15" hidden="false" customHeight="false" outlineLevel="0" collapsed="false">
      <c r="A56" s="14"/>
      <c r="B56" s="16"/>
      <c r="C56" s="16"/>
      <c r="D56" s="16"/>
      <c r="E56" s="16"/>
      <c r="F56" s="16"/>
      <c r="G56" s="15"/>
      <c r="H56" s="15"/>
      <c r="I56" s="15"/>
      <c r="J56" s="15"/>
      <c r="K56" s="17" t="str">
        <f aca="false">IF(G56&gt;0,H56/G56,"")</f>
        <v/>
      </c>
      <c r="L56" s="31" t="str">
        <f aca="false">IF(AND(G56&gt;0,G56&gt;=$R$2),K56+ROW()/1000000000,"")</f>
        <v/>
      </c>
    </row>
    <row r="57" customFormat="false" ht="15" hidden="false" customHeight="false" outlineLevel="0" collapsed="false">
      <c r="A57" s="14"/>
      <c r="B57" s="16"/>
      <c r="C57" s="16"/>
      <c r="D57" s="16"/>
      <c r="E57" s="16"/>
      <c r="F57" s="16"/>
      <c r="G57" s="15"/>
      <c r="H57" s="15"/>
      <c r="I57" s="15"/>
      <c r="J57" s="15"/>
      <c r="K57" s="17" t="str">
        <f aca="false">IF(G57&gt;0,H57/G57,"")</f>
        <v/>
      </c>
      <c r="L57" s="31" t="str">
        <f aca="false">IF(AND(G57&gt;0,G57&gt;=$R$2),K57+ROW()/1000000000,"")</f>
        <v/>
      </c>
    </row>
    <row r="58" customFormat="false" ht="15" hidden="false" customHeight="false" outlineLevel="0" collapsed="false">
      <c r="A58" s="14"/>
      <c r="B58" s="16"/>
      <c r="C58" s="16"/>
      <c r="D58" s="16"/>
      <c r="E58" s="16"/>
      <c r="F58" s="16"/>
      <c r="G58" s="15"/>
      <c r="H58" s="15"/>
      <c r="I58" s="15"/>
      <c r="J58" s="15"/>
      <c r="K58" s="17" t="str">
        <f aca="false">IF(G58&gt;0,H58/G58,"")</f>
        <v/>
      </c>
      <c r="L58" s="31" t="str">
        <f aca="false">IF(AND(G58&gt;0,G58&gt;=$R$2),K58+ROW()/1000000000,"")</f>
        <v/>
      </c>
    </row>
    <row r="59" customFormat="false" ht="15" hidden="false" customHeight="false" outlineLevel="0" collapsed="false">
      <c r="A59" s="14"/>
      <c r="B59" s="16"/>
      <c r="C59" s="16"/>
      <c r="D59" s="16"/>
      <c r="E59" s="16"/>
      <c r="F59" s="16"/>
      <c r="G59" s="15"/>
      <c r="H59" s="15"/>
      <c r="I59" s="15"/>
      <c r="J59" s="15"/>
      <c r="K59" s="17" t="str">
        <f aca="false">IF(G59&gt;0,H59/G59,"")</f>
        <v/>
      </c>
      <c r="L59" s="31" t="str">
        <f aca="false">IF(AND(G59&gt;0,G59&gt;=$R$2),K59+ROW()/1000000000,"")</f>
        <v/>
      </c>
    </row>
    <row r="60" customFormat="false" ht="15" hidden="false" customHeight="false" outlineLevel="0" collapsed="false">
      <c r="A60" s="14"/>
      <c r="B60" s="16"/>
      <c r="C60" s="16"/>
      <c r="D60" s="16"/>
      <c r="E60" s="16"/>
      <c r="F60" s="16"/>
      <c r="G60" s="15"/>
      <c r="H60" s="15"/>
      <c r="I60" s="15"/>
      <c r="J60" s="15"/>
      <c r="K60" s="17" t="str">
        <f aca="false">IF(G60&gt;0,H60/G60,"")</f>
        <v/>
      </c>
      <c r="L60" s="31" t="str">
        <f aca="false">IF(AND(G60&gt;0,G60&gt;=$R$2),K60+ROW()/1000000000,"")</f>
        <v/>
      </c>
    </row>
    <row r="61" customFormat="false" ht="15" hidden="false" customHeight="false" outlineLevel="0" collapsed="false">
      <c r="A61" s="14"/>
      <c r="B61" s="16"/>
      <c r="C61" s="16"/>
      <c r="D61" s="16"/>
      <c r="E61" s="16"/>
      <c r="F61" s="16"/>
      <c r="G61" s="15"/>
      <c r="H61" s="15"/>
      <c r="I61" s="15"/>
      <c r="J61" s="15"/>
      <c r="K61" s="17" t="str">
        <f aca="false">IF(G61&gt;0,H61/G61,"")</f>
        <v/>
      </c>
      <c r="L61" s="31" t="str">
        <f aca="false">IF(AND(G61&gt;0,G61&gt;=$R$2),K61+ROW()/1000000000,"")</f>
        <v/>
      </c>
    </row>
    <row r="62" customFormat="false" ht="15" hidden="false" customHeight="false" outlineLevel="0" collapsed="false">
      <c r="A62" s="14"/>
      <c r="B62" s="16"/>
      <c r="C62" s="16"/>
      <c r="D62" s="16"/>
      <c r="E62" s="16"/>
      <c r="F62" s="16"/>
      <c r="G62" s="15"/>
      <c r="H62" s="15"/>
      <c r="I62" s="15"/>
      <c r="J62" s="15"/>
      <c r="K62" s="17" t="str">
        <f aca="false">IF(G62&gt;0,H62/G62,"")</f>
        <v/>
      </c>
      <c r="L62" s="31" t="str">
        <f aca="false">IF(AND(G62&gt;0,G62&gt;=$R$2),K62+ROW()/1000000000,"")</f>
        <v/>
      </c>
    </row>
    <row r="63" customFormat="false" ht="15" hidden="false" customHeight="false" outlineLevel="0" collapsed="false">
      <c r="A63" s="14"/>
      <c r="B63" s="16"/>
      <c r="C63" s="16"/>
      <c r="D63" s="16"/>
      <c r="E63" s="16"/>
      <c r="F63" s="16"/>
      <c r="G63" s="15"/>
      <c r="H63" s="15"/>
      <c r="I63" s="15"/>
      <c r="J63" s="15"/>
      <c r="K63" s="17" t="str">
        <f aca="false">IF(G63&gt;0,H63/G63,"")</f>
        <v/>
      </c>
      <c r="L63" s="31" t="str">
        <f aca="false">IF(AND(G63&gt;0,G63&gt;=$R$2),K63+ROW()/1000000000,"")</f>
        <v/>
      </c>
    </row>
    <row r="64" customFormat="false" ht="15" hidden="false" customHeight="false" outlineLevel="0" collapsed="false">
      <c r="A64" s="14"/>
      <c r="B64" s="16"/>
      <c r="C64" s="16"/>
      <c r="D64" s="16"/>
      <c r="E64" s="16"/>
      <c r="F64" s="16"/>
      <c r="G64" s="15"/>
      <c r="H64" s="15"/>
      <c r="I64" s="15"/>
      <c r="J64" s="15"/>
      <c r="K64" s="17" t="str">
        <f aca="false">IF(G64&gt;0,H64/G64,"")</f>
        <v/>
      </c>
      <c r="L64" s="31" t="str">
        <f aca="false">IF(AND(G64&gt;0,G64&gt;=$R$2),K64+ROW()/1000000000,"")</f>
        <v/>
      </c>
    </row>
    <row r="65" customFormat="false" ht="15" hidden="false" customHeight="false" outlineLevel="0" collapsed="false">
      <c r="A65" s="14"/>
      <c r="B65" s="16"/>
      <c r="C65" s="16"/>
      <c r="D65" s="16"/>
      <c r="E65" s="16"/>
      <c r="F65" s="16"/>
      <c r="G65" s="15"/>
      <c r="H65" s="15"/>
      <c r="I65" s="15"/>
      <c r="J65" s="15"/>
      <c r="K65" s="17" t="str">
        <f aca="false">IF(G65&gt;0,H65/G65,"")</f>
        <v/>
      </c>
      <c r="L65" s="31" t="str">
        <f aca="false">IF(AND(G65&gt;0,G65&gt;=$R$2),K65+ROW()/1000000000,"")</f>
        <v/>
      </c>
    </row>
    <row r="66" customFormat="false" ht="15" hidden="false" customHeight="false" outlineLevel="0" collapsed="false">
      <c r="A66" s="14"/>
      <c r="B66" s="16"/>
      <c r="C66" s="16"/>
      <c r="D66" s="16"/>
      <c r="E66" s="16"/>
      <c r="F66" s="16"/>
      <c r="G66" s="15"/>
      <c r="H66" s="15"/>
      <c r="I66" s="15"/>
      <c r="J66" s="15"/>
      <c r="K66" s="17" t="str">
        <f aca="false">IF(G66&gt;0,H66/G66,"")</f>
        <v/>
      </c>
      <c r="L66" s="31" t="str">
        <f aca="false">IF(AND(G66&gt;0,G66&gt;=$R$2),K66+ROW()/1000000000,"")</f>
        <v/>
      </c>
    </row>
    <row r="67" customFormat="false" ht="15" hidden="false" customHeight="false" outlineLevel="0" collapsed="false">
      <c r="A67" s="14"/>
      <c r="B67" s="16"/>
      <c r="C67" s="16"/>
      <c r="D67" s="16"/>
      <c r="E67" s="16"/>
      <c r="F67" s="16"/>
      <c r="G67" s="15"/>
      <c r="H67" s="15"/>
      <c r="I67" s="15"/>
      <c r="J67" s="15"/>
      <c r="K67" s="17" t="str">
        <f aca="false">IF(G67&gt;0,H67/G67,"")</f>
        <v/>
      </c>
      <c r="L67" s="31" t="str">
        <f aca="false">IF(AND(G67&gt;0,G67&gt;=$R$2),K67+ROW()/1000000000,"")</f>
        <v/>
      </c>
    </row>
    <row r="68" customFormat="false" ht="15" hidden="false" customHeight="false" outlineLevel="0" collapsed="false">
      <c r="A68" s="14"/>
      <c r="B68" s="16"/>
      <c r="C68" s="16"/>
      <c r="D68" s="16"/>
      <c r="E68" s="16"/>
      <c r="F68" s="16"/>
      <c r="G68" s="15"/>
      <c r="H68" s="15"/>
      <c r="I68" s="15"/>
      <c r="J68" s="15"/>
      <c r="K68" s="17" t="str">
        <f aca="false">IF(G68&gt;0,H68/G68,"")</f>
        <v/>
      </c>
      <c r="L68" s="31" t="str">
        <f aca="false">IF(AND(G68&gt;0,G68&gt;=$R$2),K68+ROW()/1000000000,"")</f>
        <v/>
      </c>
    </row>
    <row r="69" customFormat="false" ht="15" hidden="false" customHeight="false" outlineLevel="0" collapsed="false">
      <c r="A69" s="14"/>
      <c r="B69" s="16"/>
      <c r="C69" s="16"/>
      <c r="D69" s="16"/>
      <c r="E69" s="16"/>
      <c r="F69" s="16"/>
      <c r="G69" s="15"/>
      <c r="H69" s="15"/>
      <c r="I69" s="15"/>
      <c r="J69" s="15"/>
      <c r="K69" s="17" t="str">
        <f aca="false">IF(G69&gt;0,H69/G69,"")</f>
        <v/>
      </c>
      <c r="L69" s="31" t="str">
        <f aca="false">IF(AND(G69&gt;0,G69&gt;=$R$2),K69+ROW()/1000000000,"")</f>
        <v/>
      </c>
    </row>
    <row r="70" customFormat="false" ht="15" hidden="false" customHeight="false" outlineLevel="0" collapsed="false">
      <c r="A70" s="14"/>
      <c r="B70" s="16"/>
      <c r="C70" s="16"/>
      <c r="D70" s="16"/>
      <c r="E70" s="16"/>
      <c r="F70" s="16"/>
      <c r="G70" s="15"/>
      <c r="H70" s="15"/>
      <c r="I70" s="15"/>
      <c r="J70" s="15"/>
      <c r="K70" s="17" t="str">
        <f aca="false">IF(G70&gt;0,H70/G70,"")</f>
        <v/>
      </c>
      <c r="L70" s="31" t="str">
        <f aca="false">IF(AND(G70&gt;0,G70&gt;=$R$2),K70+ROW()/1000000000,"")</f>
        <v/>
      </c>
    </row>
    <row r="71" customFormat="false" ht="15" hidden="false" customHeight="false" outlineLevel="0" collapsed="false">
      <c r="A71" s="14"/>
      <c r="B71" s="16"/>
      <c r="C71" s="16"/>
      <c r="D71" s="16"/>
      <c r="E71" s="16"/>
      <c r="F71" s="16"/>
      <c r="G71" s="15"/>
      <c r="H71" s="15"/>
      <c r="I71" s="15"/>
      <c r="J71" s="15"/>
      <c r="K71" s="17" t="str">
        <f aca="false">IF(G71&gt;0,H71/G71,"")</f>
        <v/>
      </c>
      <c r="L71" s="31" t="str">
        <f aca="false">IF(AND(G71&gt;0,G71&gt;=$R$2),K71+ROW()/1000000000,"")</f>
        <v/>
      </c>
    </row>
    <row r="72" customFormat="false" ht="15" hidden="false" customHeight="false" outlineLevel="0" collapsed="false">
      <c r="A72" s="14"/>
      <c r="B72" s="16"/>
      <c r="C72" s="16"/>
      <c r="D72" s="16"/>
      <c r="E72" s="16"/>
      <c r="F72" s="16"/>
      <c r="G72" s="15"/>
      <c r="H72" s="15"/>
      <c r="I72" s="15"/>
      <c r="J72" s="15"/>
      <c r="K72" s="17" t="str">
        <f aca="false">IF(G72&gt;0,H72/G72,"")</f>
        <v/>
      </c>
      <c r="L72" s="31" t="str">
        <f aca="false">IF(AND(G72&gt;0,G72&gt;=$R$2),K72+ROW()/1000000000,"")</f>
        <v/>
      </c>
    </row>
    <row r="73" customFormat="false" ht="15" hidden="false" customHeight="false" outlineLevel="0" collapsed="false">
      <c r="A73" s="14"/>
      <c r="B73" s="16"/>
      <c r="C73" s="16"/>
      <c r="D73" s="16"/>
      <c r="E73" s="16"/>
      <c r="F73" s="16"/>
      <c r="G73" s="15"/>
      <c r="H73" s="15"/>
      <c r="I73" s="15"/>
      <c r="J73" s="15"/>
      <c r="K73" s="17" t="str">
        <f aca="false">IF(G73&gt;0,H73/G73,"")</f>
        <v/>
      </c>
      <c r="L73" s="31" t="str">
        <f aca="false">IF(AND(G73&gt;0,G73&gt;=$R$2),K73+ROW()/1000000000,"")</f>
        <v/>
      </c>
    </row>
    <row r="74" customFormat="false" ht="15" hidden="false" customHeight="false" outlineLevel="0" collapsed="false">
      <c r="A74" s="14"/>
      <c r="B74" s="16"/>
      <c r="C74" s="16"/>
      <c r="D74" s="16"/>
      <c r="E74" s="16"/>
      <c r="F74" s="16"/>
      <c r="G74" s="15"/>
      <c r="H74" s="15"/>
      <c r="I74" s="15"/>
      <c r="J74" s="15"/>
      <c r="K74" s="17" t="str">
        <f aca="false">IF(G74&gt;0,H74/G74,"")</f>
        <v/>
      </c>
      <c r="L74" s="31" t="str">
        <f aca="false">IF(AND(G74&gt;0,G74&gt;=$R$2),K74+ROW()/1000000000,"")</f>
        <v/>
      </c>
    </row>
    <row r="75" customFormat="false" ht="15" hidden="false" customHeight="false" outlineLevel="0" collapsed="false">
      <c r="A75" s="14"/>
      <c r="B75" s="16"/>
      <c r="C75" s="16"/>
      <c r="D75" s="16"/>
      <c r="E75" s="16"/>
      <c r="F75" s="16"/>
      <c r="G75" s="15"/>
      <c r="H75" s="15"/>
      <c r="I75" s="15"/>
      <c r="J75" s="15"/>
      <c r="K75" s="17" t="str">
        <f aca="false">IF(G75&gt;0,H75/G75,"")</f>
        <v/>
      </c>
      <c r="L75" s="31" t="str">
        <f aca="false">IF(AND(G75&gt;0,G75&gt;=$R$2),K75+ROW()/1000000000,"")</f>
        <v/>
      </c>
    </row>
    <row r="76" customFormat="false" ht="15" hidden="false" customHeight="false" outlineLevel="0" collapsed="false">
      <c r="A76" s="14"/>
      <c r="B76" s="16"/>
      <c r="C76" s="16"/>
      <c r="D76" s="16"/>
      <c r="E76" s="16"/>
      <c r="F76" s="16"/>
      <c r="G76" s="15"/>
      <c r="H76" s="15"/>
      <c r="I76" s="15"/>
      <c r="J76" s="15"/>
      <c r="K76" s="17" t="str">
        <f aca="false">IF(G76&gt;0,H76/G76,"")</f>
        <v/>
      </c>
      <c r="L76" s="31" t="str">
        <f aca="false">IF(AND(G76&gt;0,G76&gt;=$R$2),K76+ROW()/1000000000,"")</f>
        <v/>
      </c>
    </row>
    <row r="77" customFormat="false" ht="15" hidden="false" customHeight="false" outlineLevel="0" collapsed="false">
      <c r="A77" s="14"/>
      <c r="B77" s="16"/>
      <c r="C77" s="16"/>
      <c r="D77" s="16"/>
      <c r="E77" s="16"/>
      <c r="F77" s="16"/>
      <c r="G77" s="15"/>
      <c r="H77" s="15"/>
      <c r="I77" s="15"/>
      <c r="J77" s="15"/>
      <c r="K77" s="17" t="str">
        <f aca="false">IF(G77&gt;0,H77/G77,"")</f>
        <v/>
      </c>
      <c r="L77" s="31" t="str">
        <f aca="false">IF(AND(G77&gt;0,G77&gt;=$R$2),K77+ROW()/1000000000,"")</f>
        <v/>
      </c>
    </row>
    <row r="78" customFormat="false" ht="15" hidden="false" customHeight="false" outlineLevel="0" collapsed="false">
      <c r="A78" s="14"/>
      <c r="B78" s="16"/>
      <c r="C78" s="16"/>
      <c r="D78" s="16"/>
      <c r="E78" s="16"/>
      <c r="F78" s="16"/>
      <c r="G78" s="15"/>
      <c r="H78" s="15"/>
      <c r="I78" s="15"/>
      <c r="J78" s="15"/>
      <c r="K78" s="17" t="str">
        <f aca="false">IF(G78&gt;0,H78/G78,"")</f>
        <v/>
      </c>
      <c r="L78" s="31" t="str">
        <f aca="false">IF(AND(G78&gt;0,G78&gt;=$R$2),K78+ROW()/1000000000,"")</f>
        <v/>
      </c>
    </row>
    <row r="79" customFormat="false" ht="15" hidden="false" customHeight="false" outlineLevel="0" collapsed="false">
      <c r="A79" s="14"/>
      <c r="B79" s="16"/>
      <c r="C79" s="16"/>
      <c r="D79" s="16"/>
      <c r="E79" s="16"/>
      <c r="F79" s="16"/>
      <c r="G79" s="15"/>
      <c r="H79" s="15"/>
      <c r="I79" s="15"/>
      <c r="J79" s="15"/>
      <c r="K79" s="17" t="str">
        <f aca="false">IF(G79&gt;0,H79/G79,"")</f>
        <v/>
      </c>
      <c r="L79" s="31" t="str">
        <f aca="false">IF(AND(G79&gt;0,G79&gt;=$R$2),K79+ROW()/1000000000,"")</f>
        <v/>
      </c>
    </row>
    <row r="80" customFormat="false" ht="15" hidden="false" customHeight="false" outlineLevel="0" collapsed="false">
      <c r="A80" s="14"/>
      <c r="B80" s="16"/>
      <c r="C80" s="16"/>
      <c r="D80" s="16"/>
      <c r="E80" s="16"/>
      <c r="F80" s="16"/>
      <c r="G80" s="15"/>
      <c r="H80" s="15"/>
      <c r="I80" s="15"/>
      <c r="J80" s="15"/>
      <c r="K80" s="17" t="str">
        <f aca="false">IF(G80&gt;0,H80/G80,"")</f>
        <v/>
      </c>
      <c r="L80" s="31" t="str">
        <f aca="false">IF(AND(G80&gt;0,G80&gt;=$R$2),K80+ROW()/1000000000,"")</f>
        <v/>
      </c>
    </row>
    <row r="81" customFormat="false" ht="15" hidden="false" customHeight="false" outlineLevel="0" collapsed="false">
      <c r="A81" s="14"/>
      <c r="B81" s="16"/>
      <c r="C81" s="16"/>
      <c r="D81" s="16"/>
      <c r="E81" s="16"/>
      <c r="F81" s="16"/>
      <c r="G81" s="15"/>
      <c r="H81" s="15"/>
      <c r="I81" s="15"/>
      <c r="J81" s="15"/>
      <c r="K81" s="17" t="str">
        <f aca="false">IF(G81&gt;0,H81/G81,"")</f>
        <v/>
      </c>
      <c r="L81" s="31" t="str">
        <f aca="false">IF(AND(G81&gt;0,G81&gt;=$R$2),K81+ROW()/1000000000,"")</f>
        <v/>
      </c>
    </row>
    <row r="82" customFormat="false" ht="15" hidden="false" customHeight="false" outlineLevel="0" collapsed="false">
      <c r="A82" s="14"/>
      <c r="B82" s="16"/>
      <c r="C82" s="16"/>
      <c r="D82" s="16"/>
      <c r="E82" s="16"/>
      <c r="F82" s="16"/>
      <c r="G82" s="15"/>
      <c r="H82" s="15"/>
      <c r="I82" s="15"/>
      <c r="J82" s="15"/>
      <c r="K82" s="17" t="str">
        <f aca="false">IF(G82&gt;0,H82/G82,"")</f>
        <v/>
      </c>
      <c r="L82" s="31" t="str">
        <f aca="false">IF(AND(G82&gt;0,G82&gt;=$R$2),K82+ROW()/1000000000,"")</f>
        <v/>
      </c>
    </row>
    <row r="83" customFormat="false" ht="15" hidden="false" customHeight="false" outlineLevel="0" collapsed="false">
      <c r="A83" s="14"/>
      <c r="B83" s="16"/>
      <c r="C83" s="16"/>
      <c r="D83" s="16"/>
      <c r="E83" s="16"/>
      <c r="F83" s="16"/>
      <c r="G83" s="15"/>
      <c r="H83" s="15"/>
      <c r="I83" s="15"/>
      <c r="J83" s="15"/>
      <c r="K83" s="17" t="str">
        <f aca="false">IF(G83&gt;0,H83/G83,"")</f>
        <v/>
      </c>
      <c r="L83" s="31" t="str">
        <f aca="false">IF(AND(G83&gt;0,G83&gt;=$R$2),K83+ROW()/1000000000,"")</f>
        <v/>
      </c>
    </row>
    <row r="84" customFormat="false" ht="15" hidden="false" customHeight="false" outlineLevel="0" collapsed="false">
      <c r="A84" s="14"/>
      <c r="B84" s="16"/>
      <c r="C84" s="16"/>
      <c r="D84" s="16"/>
      <c r="E84" s="16"/>
      <c r="F84" s="16"/>
      <c r="G84" s="15"/>
      <c r="H84" s="15"/>
      <c r="I84" s="15"/>
      <c r="J84" s="15"/>
      <c r="K84" s="17" t="str">
        <f aca="false">IF(G84&gt;0,H84/G84,"")</f>
        <v/>
      </c>
      <c r="L84" s="31" t="str">
        <f aca="false">IF(AND(G84&gt;0,G84&gt;=$R$2),K84+ROW()/1000000000,"")</f>
        <v/>
      </c>
    </row>
    <row r="85" customFormat="false" ht="15" hidden="false" customHeight="false" outlineLevel="0" collapsed="false">
      <c r="A85" s="14"/>
      <c r="B85" s="16"/>
      <c r="C85" s="16"/>
      <c r="D85" s="16"/>
      <c r="E85" s="16"/>
      <c r="F85" s="16"/>
      <c r="G85" s="15"/>
      <c r="H85" s="15"/>
      <c r="I85" s="15"/>
      <c r="J85" s="15"/>
      <c r="K85" s="17" t="str">
        <f aca="false">IF(G85&gt;0,H85/G85,"")</f>
        <v/>
      </c>
      <c r="L85" s="31" t="str">
        <f aca="false">IF(AND(G85&gt;0,G85&gt;=$R$2),K85+ROW()/1000000000,"")</f>
        <v/>
      </c>
    </row>
    <row r="86" customFormat="false" ht="15" hidden="false" customHeight="false" outlineLevel="0" collapsed="false">
      <c r="A86" s="14"/>
      <c r="B86" s="16"/>
      <c r="C86" s="16"/>
      <c r="D86" s="16"/>
      <c r="E86" s="16"/>
      <c r="F86" s="16"/>
      <c r="G86" s="15"/>
      <c r="H86" s="15"/>
      <c r="I86" s="15"/>
      <c r="J86" s="15"/>
      <c r="K86" s="17" t="str">
        <f aca="false">IF(G86&gt;0,H86/G86,"")</f>
        <v/>
      </c>
      <c r="L86" s="31" t="str">
        <f aca="false">IF(AND(G86&gt;0,G86&gt;=$R$2),K86+ROW()/1000000000,"")</f>
        <v/>
      </c>
    </row>
    <row r="87" customFormat="false" ht="15" hidden="false" customHeight="false" outlineLevel="0" collapsed="false">
      <c r="A87" s="14"/>
      <c r="B87" s="16"/>
      <c r="C87" s="16"/>
      <c r="D87" s="16"/>
      <c r="E87" s="16"/>
      <c r="F87" s="16"/>
      <c r="G87" s="15"/>
      <c r="H87" s="15"/>
      <c r="I87" s="15"/>
      <c r="J87" s="15"/>
      <c r="K87" s="17" t="str">
        <f aca="false">IF(G87&gt;0,H87/G87,"")</f>
        <v/>
      </c>
      <c r="L87" s="31" t="str">
        <f aca="false">IF(AND(G87&gt;0,G87&gt;=$R$2),K87+ROW()/1000000000,"")</f>
        <v/>
      </c>
    </row>
    <row r="88" customFormat="false" ht="15" hidden="false" customHeight="false" outlineLevel="0" collapsed="false">
      <c r="A88" s="14"/>
      <c r="B88" s="16"/>
      <c r="C88" s="16"/>
      <c r="D88" s="16"/>
      <c r="E88" s="16"/>
      <c r="F88" s="16"/>
      <c r="G88" s="15"/>
      <c r="H88" s="15"/>
      <c r="I88" s="15"/>
      <c r="J88" s="15"/>
      <c r="K88" s="17" t="str">
        <f aca="false">IF(G88&gt;0,H88/G88,"")</f>
        <v/>
      </c>
      <c r="L88" s="31" t="str">
        <f aca="false">IF(AND(G88&gt;0,G88&gt;=$R$2),K88+ROW()/1000000000,"")</f>
        <v/>
      </c>
    </row>
    <row r="89" customFormat="false" ht="15" hidden="false" customHeight="false" outlineLevel="0" collapsed="false">
      <c r="A89" s="14"/>
      <c r="B89" s="16"/>
      <c r="C89" s="16"/>
      <c r="D89" s="16"/>
      <c r="E89" s="16"/>
      <c r="F89" s="16"/>
      <c r="G89" s="15"/>
      <c r="H89" s="15"/>
      <c r="I89" s="15"/>
      <c r="J89" s="15"/>
      <c r="K89" s="17" t="str">
        <f aca="false">IF(G89&gt;0,H89/G89,"")</f>
        <v/>
      </c>
      <c r="L89" s="31" t="str">
        <f aca="false">IF(AND(G89&gt;0,G89&gt;=$R$2),K89+ROW()/1000000000,"")</f>
        <v/>
      </c>
    </row>
    <row r="90" customFormat="false" ht="15" hidden="false" customHeight="false" outlineLevel="0" collapsed="false">
      <c r="A90" s="14"/>
      <c r="B90" s="16"/>
      <c r="C90" s="16"/>
      <c r="D90" s="16"/>
      <c r="E90" s="16"/>
      <c r="F90" s="16"/>
      <c r="G90" s="15"/>
      <c r="H90" s="15"/>
      <c r="I90" s="15"/>
      <c r="J90" s="15"/>
      <c r="K90" s="17" t="str">
        <f aca="false">IF(G90&gt;0,H90/G90,"")</f>
        <v/>
      </c>
      <c r="L90" s="31" t="str">
        <f aca="false">IF(AND(G90&gt;0,G90&gt;=$R$2),K90+ROW()/1000000000,"")</f>
        <v/>
      </c>
    </row>
    <row r="91" customFormat="false" ht="15" hidden="false" customHeight="false" outlineLevel="0" collapsed="false">
      <c r="A91" s="14"/>
      <c r="B91" s="16"/>
      <c r="C91" s="16"/>
      <c r="D91" s="16"/>
      <c r="E91" s="16"/>
      <c r="F91" s="16"/>
      <c r="G91" s="15"/>
      <c r="H91" s="15"/>
      <c r="I91" s="15"/>
      <c r="J91" s="15"/>
      <c r="K91" s="17" t="str">
        <f aca="false">IF(G91&gt;0,H91/G91,"")</f>
        <v/>
      </c>
      <c r="L91" s="31" t="str">
        <f aca="false">IF(AND(G91&gt;0,G91&gt;=$R$2),K91+ROW()/1000000000,"")</f>
        <v/>
      </c>
    </row>
    <row r="92" customFormat="false" ht="15" hidden="false" customHeight="false" outlineLevel="0" collapsed="false">
      <c r="A92" s="14"/>
      <c r="B92" s="16"/>
      <c r="C92" s="16"/>
      <c r="D92" s="16"/>
      <c r="E92" s="16"/>
      <c r="F92" s="16"/>
      <c r="G92" s="15"/>
      <c r="H92" s="15"/>
      <c r="I92" s="15"/>
      <c r="J92" s="15"/>
      <c r="K92" s="17" t="str">
        <f aca="false">IF(G92&gt;0,H92/G92,"")</f>
        <v/>
      </c>
      <c r="L92" s="31" t="str">
        <f aca="false">IF(AND(G92&gt;0,G92&gt;=$R$2),K92+ROW()/1000000000,"")</f>
        <v/>
      </c>
    </row>
    <row r="93" customFormat="false" ht="15" hidden="false" customHeight="false" outlineLevel="0" collapsed="false">
      <c r="A93" s="14"/>
      <c r="B93" s="16"/>
      <c r="C93" s="16"/>
      <c r="D93" s="16"/>
      <c r="E93" s="16"/>
      <c r="F93" s="16"/>
      <c r="G93" s="15"/>
      <c r="H93" s="15"/>
      <c r="I93" s="15"/>
      <c r="J93" s="15"/>
      <c r="K93" s="17" t="str">
        <f aca="false">IF(G93&gt;0,H93/G93,"")</f>
        <v/>
      </c>
      <c r="L93" s="31" t="str">
        <f aca="false">IF(AND(G93&gt;0,G93&gt;=$R$2),K93+ROW()/1000000000,"")</f>
        <v/>
      </c>
    </row>
    <row r="94" customFormat="false" ht="15" hidden="false" customHeight="false" outlineLevel="0" collapsed="false">
      <c r="A94" s="14"/>
      <c r="B94" s="16"/>
      <c r="C94" s="16"/>
      <c r="D94" s="16"/>
      <c r="E94" s="16"/>
      <c r="F94" s="16"/>
      <c r="G94" s="15"/>
      <c r="H94" s="15"/>
      <c r="I94" s="15"/>
      <c r="J94" s="15"/>
      <c r="K94" s="17" t="str">
        <f aca="false">IF(G94&gt;0,H94/G94,"")</f>
        <v/>
      </c>
      <c r="L94" s="31" t="str">
        <f aca="false">IF(AND(G94&gt;0,G94&gt;=$R$2),K94+ROW()/1000000000,"")</f>
        <v/>
      </c>
    </row>
    <row r="95" customFormat="false" ht="15" hidden="false" customHeight="false" outlineLevel="0" collapsed="false">
      <c r="A95" s="14"/>
      <c r="B95" s="16"/>
      <c r="C95" s="16"/>
      <c r="D95" s="16"/>
      <c r="E95" s="16"/>
      <c r="F95" s="16"/>
      <c r="G95" s="15"/>
      <c r="H95" s="15"/>
      <c r="I95" s="15"/>
      <c r="J95" s="15"/>
      <c r="K95" s="17" t="str">
        <f aca="false">IF(G95&gt;0,H95/G95,"")</f>
        <v/>
      </c>
      <c r="L95" s="31" t="str">
        <f aca="false">IF(AND(G95&gt;0,G95&gt;=$R$2),K95+ROW()/1000000000,"")</f>
        <v/>
      </c>
    </row>
    <row r="96" customFormat="false" ht="15" hidden="false" customHeight="false" outlineLevel="0" collapsed="false">
      <c r="A96" s="14"/>
      <c r="B96" s="16"/>
      <c r="C96" s="16"/>
      <c r="D96" s="16"/>
      <c r="E96" s="16"/>
      <c r="F96" s="16"/>
      <c r="G96" s="15"/>
      <c r="H96" s="15"/>
      <c r="I96" s="15"/>
      <c r="J96" s="15"/>
      <c r="K96" s="17" t="str">
        <f aca="false">IF(G96&gt;0,H96/G96,"")</f>
        <v/>
      </c>
      <c r="L96" s="31" t="str">
        <f aca="false">IF(AND(G96&gt;0,G96&gt;=$R$2),K96+ROW()/1000000000,"")</f>
        <v/>
      </c>
    </row>
    <row r="97" customFormat="false" ht="15" hidden="false" customHeight="false" outlineLevel="0" collapsed="false">
      <c r="A97" s="14"/>
      <c r="B97" s="16"/>
      <c r="C97" s="16"/>
      <c r="D97" s="16"/>
      <c r="E97" s="16"/>
      <c r="F97" s="16"/>
      <c r="G97" s="15"/>
      <c r="H97" s="15"/>
      <c r="I97" s="15"/>
      <c r="J97" s="15"/>
      <c r="K97" s="17" t="str">
        <f aca="false">IF(G97&gt;0,H97/G97,"")</f>
        <v/>
      </c>
      <c r="L97" s="31" t="str">
        <f aca="false">IF(AND(G97&gt;0,G97&gt;=$R$2),K97+ROW()/1000000000,"")</f>
        <v/>
      </c>
    </row>
    <row r="98" customFormat="false" ht="15" hidden="false" customHeight="false" outlineLevel="0" collapsed="false">
      <c r="A98" s="14"/>
      <c r="B98" s="16"/>
      <c r="C98" s="16"/>
      <c r="D98" s="16"/>
      <c r="E98" s="16"/>
      <c r="F98" s="16"/>
      <c r="G98" s="15"/>
      <c r="H98" s="15"/>
      <c r="I98" s="15"/>
      <c r="J98" s="15"/>
      <c r="K98" s="17" t="str">
        <f aca="false">IF(G98&gt;0,H98/G98,"")</f>
        <v/>
      </c>
      <c r="L98" s="31" t="str">
        <f aca="false">IF(AND(G98&gt;0,G98&gt;=$R$2),K98+ROW()/1000000000,"")</f>
        <v/>
      </c>
    </row>
    <row r="99" customFormat="false" ht="15" hidden="false" customHeight="false" outlineLevel="0" collapsed="false">
      <c r="A99" s="14"/>
      <c r="B99" s="16"/>
      <c r="C99" s="16"/>
      <c r="D99" s="16"/>
      <c r="E99" s="16"/>
      <c r="F99" s="16"/>
      <c r="G99" s="15"/>
      <c r="H99" s="15"/>
      <c r="I99" s="15"/>
      <c r="J99" s="15"/>
      <c r="K99" s="17" t="str">
        <f aca="false">IF(G99&gt;0,H99/G99,"")</f>
        <v/>
      </c>
      <c r="L99" s="31" t="str">
        <f aca="false">IF(AND(G99&gt;0,G99&gt;=$R$2),K99+ROW()/1000000000,"")</f>
        <v/>
      </c>
    </row>
    <row r="100" customFormat="false" ht="15" hidden="false" customHeight="false" outlineLevel="0" collapsed="false">
      <c r="A100" s="14"/>
      <c r="B100" s="16"/>
      <c r="C100" s="16"/>
      <c r="D100" s="16"/>
      <c r="E100" s="16"/>
      <c r="F100" s="16"/>
      <c r="G100" s="15"/>
      <c r="H100" s="15"/>
      <c r="I100" s="15"/>
      <c r="J100" s="15"/>
      <c r="K100" s="17" t="str">
        <f aca="false">IF(G100&gt;0,H100/G100,"")</f>
        <v/>
      </c>
      <c r="L100" s="31" t="str">
        <f aca="false">IF(AND(G100&gt;0,G100&gt;=$R$2),K100+ROW()/1000000000,"")</f>
        <v/>
      </c>
    </row>
    <row r="101" customFormat="false" ht="15" hidden="false" customHeight="false" outlineLevel="0" collapsed="false">
      <c r="A101" s="14"/>
      <c r="B101" s="16"/>
      <c r="C101" s="16"/>
      <c r="D101" s="16"/>
      <c r="E101" s="16"/>
      <c r="F101" s="16"/>
      <c r="G101" s="15"/>
      <c r="H101" s="15"/>
      <c r="I101" s="15"/>
      <c r="J101" s="15"/>
      <c r="K101" s="17" t="str">
        <f aca="false">IF(G101&gt;0,H101/G101,"")</f>
        <v/>
      </c>
      <c r="L101" s="31" t="str">
        <f aca="false">IF(AND(G101&gt;0,G101&gt;=$R$2),K101+ROW()/1000000000,"")</f>
        <v/>
      </c>
    </row>
    <row r="102" customFormat="false" ht="15" hidden="false" customHeight="false" outlineLevel="0" collapsed="false">
      <c r="A102" s="14"/>
      <c r="B102" s="16"/>
      <c r="C102" s="16"/>
      <c r="D102" s="16"/>
      <c r="E102" s="16"/>
      <c r="F102" s="16"/>
      <c r="G102" s="15"/>
      <c r="H102" s="15"/>
      <c r="I102" s="15"/>
      <c r="J102" s="15"/>
      <c r="K102" s="17" t="str">
        <f aca="false">IF(G102&gt;0,H102/G102,"")</f>
        <v/>
      </c>
      <c r="L102" s="31" t="str">
        <f aca="false">IF(AND(G102&gt;0,G102&gt;=$R$2),K102+ROW()/1000000000,"")</f>
        <v/>
      </c>
    </row>
    <row r="103" customFormat="false" ht="15" hidden="false" customHeight="false" outlineLevel="0" collapsed="false">
      <c r="A103" s="14"/>
      <c r="B103" s="16"/>
      <c r="C103" s="16"/>
      <c r="D103" s="16"/>
      <c r="E103" s="16"/>
      <c r="F103" s="16"/>
      <c r="G103" s="15"/>
      <c r="H103" s="15"/>
      <c r="I103" s="15"/>
      <c r="J103" s="15"/>
      <c r="K103" s="17" t="str">
        <f aca="false">IF(G103&gt;0,H103/G103,"")</f>
        <v/>
      </c>
      <c r="L103" s="31" t="str">
        <f aca="false">IF(AND(G103&gt;0,G103&gt;=$R$2),K103+ROW()/1000000000,"")</f>
        <v/>
      </c>
    </row>
    <row r="104" customFormat="false" ht="15" hidden="false" customHeight="false" outlineLevel="0" collapsed="false">
      <c r="A104" s="14"/>
      <c r="B104" s="16"/>
      <c r="C104" s="16"/>
      <c r="D104" s="16"/>
      <c r="E104" s="16"/>
      <c r="F104" s="16"/>
      <c r="G104" s="15"/>
      <c r="H104" s="15"/>
      <c r="I104" s="15"/>
      <c r="J104" s="15"/>
      <c r="K104" s="17" t="str">
        <f aca="false">IF(G104&gt;0,H104/G104,"")</f>
        <v/>
      </c>
      <c r="L104" s="31" t="str">
        <f aca="false">IF(AND(G104&gt;0,G104&gt;=$R$2),K104+ROW()/1000000000,"")</f>
        <v/>
      </c>
    </row>
    <row r="105" customFormat="false" ht="15" hidden="false" customHeight="false" outlineLevel="0" collapsed="false">
      <c r="A105" s="14"/>
      <c r="B105" s="16"/>
      <c r="C105" s="16"/>
      <c r="D105" s="16"/>
      <c r="E105" s="16"/>
      <c r="F105" s="16"/>
      <c r="G105" s="15"/>
      <c r="H105" s="15"/>
      <c r="I105" s="15"/>
      <c r="J105" s="15"/>
      <c r="K105" s="17" t="str">
        <f aca="false">IF(G105&gt;0,H105/G105,"")</f>
        <v/>
      </c>
      <c r="L105" s="31" t="str">
        <f aca="false">IF(AND(G105&gt;0,G105&gt;=$R$2),K105+ROW()/1000000000,"")</f>
        <v/>
      </c>
    </row>
    <row r="106" customFormat="false" ht="15" hidden="false" customHeight="false" outlineLevel="0" collapsed="false">
      <c r="A106" s="14"/>
      <c r="B106" s="16"/>
      <c r="C106" s="16"/>
      <c r="D106" s="16"/>
      <c r="E106" s="16"/>
      <c r="F106" s="16"/>
      <c r="G106" s="15"/>
      <c r="H106" s="15"/>
      <c r="I106" s="15"/>
      <c r="J106" s="15"/>
      <c r="K106" s="17" t="str">
        <f aca="false">IF(G106&gt;0,H106/G106,"")</f>
        <v/>
      </c>
      <c r="L106" s="31" t="str">
        <f aca="false">IF(AND(G106&gt;0,G106&gt;=$R$2),K106+ROW()/1000000000,"")</f>
        <v/>
      </c>
    </row>
    <row r="107" customFormat="false" ht="15" hidden="false" customHeight="false" outlineLevel="0" collapsed="false">
      <c r="A107" s="14"/>
      <c r="B107" s="16"/>
      <c r="C107" s="16"/>
      <c r="D107" s="16"/>
      <c r="E107" s="16"/>
      <c r="F107" s="16"/>
      <c r="G107" s="15"/>
      <c r="H107" s="15"/>
      <c r="I107" s="15"/>
      <c r="J107" s="15"/>
      <c r="K107" s="17" t="str">
        <f aca="false">IF(G107&gt;0,H107/G107,"")</f>
        <v/>
      </c>
      <c r="L107" s="31" t="str">
        <f aca="false">IF(AND(G107&gt;0,G107&gt;=$R$2),K107+ROW()/1000000000,"")</f>
        <v/>
      </c>
    </row>
    <row r="108" customFormat="false" ht="15" hidden="false" customHeight="false" outlineLevel="0" collapsed="false">
      <c r="A108" s="14"/>
      <c r="B108" s="16"/>
      <c r="C108" s="16"/>
      <c r="D108" s="16"/>
      <c r="E108" s="16"/>
      <c r="F108" s="16"/>
      <c r="G108" s="15"/>
      <c r="H108" s="15"/>
      <c r="I108" s="15"/>
      <c r="J108" s="15"/>
      <c r="K108" s="17" t="str">
        <f aca="false">IF(G108&gt;0,H108/G108,"")</f>
        <v/>
      </c>
      <c r="L108" s="31" t="str">
        <f aca="false">IF(AND(G108&gt;0,G108&gt;=$R$2),K108+ROW()/1000000000,"")</f>
        <v/>
      </c>
    </row>
    <row r="109" customFormat="false" ht="15" hidden="false" customHeight="false" outlineLevel="0" collapsed="false">
      <c r="A109" s="14"/>
      <c r="B109" s="16"/>
      <c r="C109" s="16"/>
      <c r="D109" s="16"/>
      <c r="E109" s="16"/>
      <c r="F109" s="16"/>
      <c r="G109" s="15"/>
      <c r="H109" s="15"/>
      <c r="I109" s="15"/>
      <c r="J109" s="15"/>
      <c r="K109" s="17" t="str">
        <f aca="false">IF(G109&gt;0,H109/G109,"")</f>
        <v/>
      </c>
      <c r="L109" s="31" t="str">
        <f aca="false">IF(AND(G109&gt;0,G109&gt;=$R$2),K109+ROW()/1000000000,"")</f>
        <v/>
      </c>
    </row>
    <row r="110" customFormat="false" ht="15" hidden="false" customHeight="false" outlineLevel="0" collapsed="false">
      <c r="A110" s="14"/>
      <c r="B110" s="16"/>
      <c r="C110" s="16"/>
      <c r="D110" s="16"/>
      <c r="E110" s="16"/>
      <c r="F110" s="16"/>
      <c r="G110" s="15"/>
      <c r="H110" s="15"/>
      <c r="I110" s="15"/>
      <c r="J110" s="15"/>
      <c r="K110" s="17" t="str">
        <f aca="false">IF(G110&gt;0,H110/G110,"")</f>
        <v/>
      </c>
      <c r="L110" s="31" t="str">
        <f aca="false">IF(AND(G110&gt;0,G110&gt;=$R$2),K110+ROW()/1000000000,"")</f>
        <v/>
      </c>
    </row>
    <row r="111" customFormat="false" ht="15" hidden="false" customHeight="false" outlineLevel="0" collapsed="false">
      <c r="A111" s="14"/>
      <c r="B111" s="16"/>
      <c r="C111" s="16"/>
      <c r="D111" s="16"/>
      <c r="E111" s="16"/>
      <c r="F111" s="16"/>
      <c r="G111" s="15"/>
      <c r="H111" s="15"/>
      <c r="I111" s="15"/>
      <c r="J111" s="15"/>
      <c r="K111" s="17" t="str">
        <f aca="false">IF(G111&gt;0,H111/G111,"")</f>
        <v/>
      </c>
      <c r="L111" s="31" t="str">
        <f aca="false">IF(AND(G111&gt;0,G111&gt;=$R$2),K111+ROW()/1000000000,"")</f>
        <v/>
      </c>
    </row>
    <row r="112" customFormat="false" ht="15" hidden="false" customHeight="false" outlineLevel="0" collapsed="false">
      <c r="A112" s="14"/>
      <c r="B112" s="16"/>
      <c r="C112" s="16"/>
      <c r="D112" s="16"/>
      <c r="E112" s="16"/>
      <c r="F112" s="16"/>
      <c r="G112" s="15"/>
      <c r="H112" s="15"/>
      <c r="I112" s="15"/>
      <c r="J112" s="15"/>
      <c r="K112" s="17" t="str">
        <f aca="false">IF(G112&gt;0,H112/G112,"")</f>
        <v/>
      </c>
      <c r="L112" s="31" t="str">
        <f aca="false">IF(AND(G112&gt;0,G112&gt;=$R$2),K112+ROW()/1000000000,"")</f>
        <v/>
      </c>
    </row>
    <row r="113" customFormat="false" ht="15" hidden="false" customHeight="false" outlineLevel="0" collapsed="false">
      <c r="A113" s="14"/>
      <c r="B113" s="16"/>
      <c r="C113" s="16"/>
      <c r="D113" s="16"/>
      <c r="E113" s="16"/>
      <c r="F113" s="16"/>
      <c r="G113" s="15"/>
      <c r="H113" s="15"/>
      <c r="I113" s="15"/>
      <c r="J113" s="15"/>
      <c r="K113" s="17" t="str">
        <f aca="false">IF(G113&gt;0,H113/G113,"")</f>
        <v/>
      </c>
      <c r="L113" s="31" t="str">
        <f aca="false">IF(AND(G113&gt;0,G113&gt;=$R$2),K113+ROW()/1000000000,"")</f>
        <v/>
      </c>
    </row>
    <row r="114" customFormat="false" ht="15" hidden="false" customHeight="false" outlineLevel="0" collapsed="false">
      <c r="A114" s="14"/>
      <c r="B114" s="16"/>
      <c r="C114" s="16"/>
      <c r="D114" s="16"/>
      <c r="E114" s="16"/>
      <c r="F114" s="16"/>
      <c r="G114" s="15"/>
      <c r="H114" s="15"/>
      <c r="I114" s="15"/>
      <c r="J114" s="15"/>
      <c r="K114" s="17" t="str">
        <f aca="false">IF(G114&gt;0,H114/G114,"")</f>
        <v/>
      </c>
      <c r="L114" s="31" t="str">
        <f aca="false">IF(AND(G114&gt;0,G114&gt;=$R$2),K114+ROW()/1000000000,"")</f>
        <v/>
      </c>
    </row>
    <row r="115" customFormat="false" ht="15" hidden="false" customHeight="false" outlineLevel="0" collapsed="false">
      <c r="A115" s="14"/>
      <c r="B115" s="16"/>
      <c r="C115" s="16"/>
      <c r="D115" s="16"/>
      <c r="E115" s="16"/>
      <c r="F115" s="16"/>
      <c r="G115" s="15"/>
      <c r="H115" s="15"/>
      <c r="I115" s="15"/>
      <c r="J115" s="15"/>
      <c r="K115" s="17" t="str">
        <f aca="false">IF(G115&gt;0,H115/G115,"")</f>
        <v/>
      </c>
      <c r="L115" s="31" t="str">
        <f aca="false">IF(AND(G115&gt;0,G115&gt;=$R$2),K115+ROW()/1000000000,"")</f>
        <v/>
      </c>
    </row>
    <row r="116" customFormat="false" ht="15" hidden="false" customHeight="false" outlineLevel="0" collapsed="false">
      <c r="A116" s="14"/>
      <c r="B116" s="16"/>
      <c r="C116" s="16"/>
      <c r="D116" s="16"/>
      <c r="E116" s="16"/>
      <c r="F116" s="16"/>
      <c r="G116" s="15"/>
      <c r="H116" s="15"/>
      <c r="I116" s="15"/>
      <c r="J116" s="15"/>
      <c r="K116" s="17" t="str">
        <f aca="false">IF(G116&gt;0,H116/G116,"")</f>
        <v/>
      </c>
      <c r="L116" s="31" t="str">
        <f aca="false">IF(AND(G116&gt;0,G116&gt;=$R$2),K116+ROW()/1000000000,"")</f>
        <v/>
      </c>
    </row>
    <row r="117" customFormat="false" ht="15" hidden="false" customHeight="false" outlineLevel="0" collapsed="false">
      <c r="A117" s="14"/>
      <c r="B117" s="16"/>
      <c r="C117" s="16"/>
      <c r="D117" s="16"/>
      <c r="E117" s="16"/>
      <c r="F117" s="16"/>
      <c r="G117" s="15"/>
      <c r="H117" s="15"/>
      <c r="I117" s="15"/>
      <c r="J117" s="15"/>
      <c r="K117" s="17" t="str">
        <f aca="false">IF(G117&gt;0,H117/G117,"")</f>
        <v/>
      </c>
      <c r="L117" s="31" t="str">
        <f aca="false">IF(AND(G117&gt;0,G117&gt;=$R$2),K117+ROW()/1000000000,"")</f>
        <v/>
      </c>
    </row>
    <row r="118" customFormat="false" ht="15" hidden="false" customHeight="false" outlineLevel="0" collapsed="false">
      <c r="A118" s="14"/>
      <c r="B118" s="16"/>
      <c r="C118" s="16"/>
      <c r="D118" s="16"/>
      <c r="E118" s="16"/>
      <c r="F118" s="16"/>
      <c r="G118" s="15"/>
      <c r="H118" s="15"/>
      <c r="I118" s="15"/>
      <c r="J118" s="15"/>
      <c r="K118" s="17" t="str">
        <f aca="false">IF(G118&gt;0,H118/G118,"")</f>
        <v/>
      </c>
      <c r="L118" s="31" t="str">
        <f aca="false">IF(AND(G118&gt;0,G118&gt;=$R$2),K118+ROW()/1000000000,"")</f>
        <v/>
      </c>
    </row>
    <row r="119" customFormat="false" ht="15" hidden="false" customHeight="false" outlineLevel="0" collapsed="false">
      <c r="A119" s="14"/>
      <c r="B119" s="16"/>
      <c r="C119" s="16"/>
      <c r="D119" s="16"/>
      <c r="E119" s="16"/>
      <c r="F119" s="16"/>
      <c r="G119" s="15"/>
      <c r="H119" s="15"/>
      <c r="I119" s="15"/>
      <c r="J119" s="15"/>
      <c r="K119" s="17" t="str">
        <f aca="false">IF(G119&gt;0,H119/G119,"")</f>
        <v/>
      </c>
      <c r="L119" s="31" t="str">
        <f aca="false">IF(AND(G119&gt;0,G119&gt;=$R$2),K119+ROW()/1000000000,"")</f>
        <v/>
      </c>
    </row>
    <row r="120" customFormat="false" ht="15" hidden="false" customHeight="false" outlineLevel="0" collapsed="false">
      <c r="A120" s="14"/>
      <c r="B120" s="16"/>
      <c r="C120" s="16"/>
      <c r="D120" s="16"/>
      <c r="E120" s="16"/>
      <c r="F120" s="16"/>
      <c r="G120" s="15"/>
      <c r="H120" s="15"/>
      <c r="I120" s="15"/>
      <c r="J120" s="15"/>
      <c r="K120" s="17" t="str">
        <f aca="false">IF(G120&gt;0,H120/G120,"")</f>
        <v/>
      </c>
      <c r="L120" s="31" t="str">
        <f aca="false">IF(AND(G120&gt;0,G120&gt;=$R$2),K120+ROW()/1000000000,"")</f>
        <v/>
      </c>
    </row>
    <row r="121" customFormat="false" ht="15" hidden="false" customHeight="false" outlineLevel="0" collapsed="false">
      <c r="A121" s="14"/>
      <c r="B121" s="16"/>
      <c r="C121" s="16"/>
      <c r="D121" s="16"/>
      <c r="E121" s="16"/>
      <c r="F121" s="16"/>
      <c r="G121" s="15"/>
      <c r="H121" s="15"/>
      <c r="I121" s="15"/>
      <c r="J121" s="15"/>
      <c r="K121" s="17" t="str">
        <f aca="false">IF(G121&gt;0,H121/G121,"")</f>
        <v/>
      </c>
      <c r="L121" s="31" t="str">
        <f aca="false">IF(AND(G121&gt;0,G121&gt;=$R$2),K121+ROW()/1000000000,"")</f>
        <v/>
      </c>
    </row>
    <row r="122" customFormat="false" ht="15" hidden="false" customHeight="false" outlineLevel="0" collapsed="false">
      <c r="A122" s="14"/>
      <c r="B122" s="16"/>
      <c r="C122" s="16"/>
      <c r="D122" s="16"/>
      <c r="E122" s="16"/>
      <c r="F122" s="16"/>
      <c r="G122" s="15"/>
      <c r="H122" s="15"/>
      <c r="I122" s="15"/>
      <c r="J122" s="15"/>
      <c r="K122" s="17" t="str">
        <f aca="false">IF(G122&gt;0,H122/G122,"")</f>
        <v/>
      </c>
      <c r="L122" s="31" t="str">
        <f aca="false">IF(AND(G122&gt;0,G122&gt;=$R$2),K122+ROW()/1000000000,"")</f>
        <v/>
      </c>
    </row>
    <row r="123" customFormat="false" ht="15" hidden="false" customHeight="false" outlineLevel="0" collapsed="false">
      <c r="A123" s="14"/>
      <c r="B123" s="16"/>
      <c r="C123" s="16"/>
      <c r="D123" s="16"/>
      <c r="E123" s="16"/>
      <c r="F123" s="16"/>
      <c r="G123" s="15"/>
      <c r="H123" s="15"/>
      <c r="I123" s="15"/>
      <c r="J123" s="15"/>
      <c r="K123" s="17" t="str">
        <f aca="false">IF(G123&gt;0,H123/G123,"")</f>
        <v/>
      </c>
      <c r="L123" s="31" t="str">
        <f aca="false">IF(AND(G123&gt;0,G123&gt;=$R$2),K123+ROW()/1000000000,"")</f>
        <v/>
      </c>
    </row>
    <row r="124" customFormat="false" ht="15" hidden="false" customHeight="false" outlineLevel="0" collapsed="false">
      <c r="A124" s="14"/>
      <c r="B124" s="16"/>
      <c r="C124" s="16"/>
      <c r="D124" s="16"/>
      <c r="E124" s="16"/>
      <c r="F124" s="16"/>
      <c r="G124" s="15"/>
      <c r="H124" s="15"/>
      <c r="I124" s="15"/>
      <c r="J124" s="15"/>
      <c r="K124" s="17" t="str">
        <f aca="false">IF(G124&gt;0,H124/G124,"")</f>
        <v/>
      </c>
      <c r="L124" s="31" t="str">
        <f aca="false">IF(AND(G124&gt;0,G124&gt;=$R$2),K124+ROW()/1000000000,"")</f>
        <v/>
      </c>
    </row>
    <row r="125" customFormat="false" ht="15" hidden="false" customHeight="false" outlineLevel="0" collapsed="false">
      <c r="A125" s="14"/>
      <c r="B125" s="16"/>
      <c r="C125" s="16"/>
      <c r="D125" s="16"/>
      <c r="E125" s="16"/>
      <c r="F125" s="16"/>
      <c r="G125" s="15"/>
      <c r="H125" s="15"/>
      <c r="I125" s="15"/>
      <c r="J125" s="15"/>
      <c r="K125" s="17" t="str">
        <f aca="false">IF(G125&gt;0,H125/G125,"")</f>
        <v/>
      </c>
      <c r="L125" s="31" t="str">
        <f aca="false">IF(AND(G125&gt;0,G125&gt;=$R$2),K125+ROW()/1000000000,"")</f>
        <v/>
      </c>
    </row>
    <row r="126" customFormat="false" ht="15" hidden="false" customHeight="false" outlineLevel="0" collapsed="false">
      <c r="A126" s="14"/>
      <c r="B126" s="16"/>
      <c r="C126" s="16"/>
      <c r="D126" s="16"/>
      <c r="E126" s="16"/>
      <c r="F126" s="16"/>
      <c r="G126" s="15"/>
      <c r="H126" s="15"/>
      <c r="I126" s="15"/>
      <c r="J126" s="15"/>
      <c r="K126" s="17" t="str">
        <f aca="false">IF(G126&gt;0,H126/G126,"")</f>
        <v/>
      </c>
      <c r="L126" s="31" t="str">
        <f aca="false">IF(AND(G126&gt;0,G126&gt;=$R$2),K126+ROW()/1000000000,"")</f>
        <v/>
      </c>
    </row>
    <row r="127" customFormat="false" ht="15" hidden="false" customHeight="false" outlineLevel="0" collapsed="false">
      <c r="A127" s="14"/>
      <c r="B127" s="16"/>
      <c r="C127" s="16"/>
      <c r="D127" s="16"/>
      <c r="E127" s="16"/>
      <c r="F127" s="16"/>
      <c r="G127" s="15"/>
      <c r="H127" s="15"/>
      <c r="I127" s="15"/>
      <c r="J127" s="15"/>
      <c r="K127" s="17" t="str">
        <f aca="false">IF(G127&gt;0,H127/G127,"")</f>
        <v/>
      </c>
      <c r="L127" s="31" t="str">
        <f aca="false">IF(AND(G127&gt;0,G127&gt;=$R$2),K127+ROW()/1000000000,"")</f>
        <v/>
      </c>
    </row>
    <row r="128" customFormat="false" ht="15" hidden="false" customHeight="false" outlineLevel="0" collapsed="false">
      <c r="A128" s="14"/>
      <c r="B128" s="16"/>
      <c r="C128" s="16"/>
      <c r="D128" s="16"/>
      <c r="E128" s="16"/>
      <c r="F128" s="16"/>
      <c r="G128" s="15"/>
      <c r="H128" s="15"/>
      <c r="I128" s="15"/>
      <c r="J128" s="15"/>
      <c r="K128" s="17" t="str">
        <f aca="false">IF(G128&gt;0,H128/G128,"")</f>
        <v/>
      </c>
      <c r="L128" s="31" t="str">
        <f aca="false">IF(AND(G128&gt;0,G128&gt;=$R$2),K128+ROW()/1000000000,"")</f>
        <v/>
      </c>
    </row>
    <row r="129" customFormat="false" ht="15" hidden="false" customHeight="false" outlineLevel="0" collapsed="false">
      <c r="A129" s="14"/>
      <c r="B129" s="16"/>
      <c r="C129" s="16"/>
      <c r="D129" s="16"/>
      <c r="E129" s="16"/>
      <c r="F129" s="16"/>
      <c r="G129" s="15"/>
      <c r="H129" s="15"/>
      <c r="I129" s="15"/>
      <c r="J129" s="15"/>
      <c r="K129" s="17" t="str">
        <f aca="false">IF(G129&gt;0,H129/G129,"")</f>
        <v/>
      </c>
      <c r="L129" s="31" t="str">
        <f aca="false">IF(AND(G129&gt;0,G129&gt;=$R$2),K129+ROW()/1000000000,"")</f>
        <v/>
      </c>
    </row>
    <row r="130" customFormat="false" ht="15" hidden="false" customHeight="false" outlineLevel="0" collapsed="false">
      <c r="A130" s="14"/>
      <c r="B130" s="16"/>
      <c r="C130" s="16"/>
      <c r="D130" s="16"/>
      <c r="E130" s="16"/>
      <c r="F130" s="16"/>
      <c r="G130" s="15"/>
      <c r="H130" s="15"/>
      <c r="I130" s="15"/>
      <c r="J130" s="15"/>
      <c r="K130" s="17" t="str">
        <f aca="false">IF(G130&gt;0,H130/G130,"")</f>
        <v/>
      </c>
      <c r="L130" s="31" t="str">
        <f aca="false">IF(AND(G130&gt;0,G130&gt;=$R$2),K130+ROW()/1000000000,"")</f>
        <v/>
      </c>
    </row>
    <row r="131" customFormat="false" ht="15" hidden="false" customHeight="false" outlineLevel="0" collapsed="false">
      <c r="A131" s="14"/>
      <c r="B131" s="16"/>
      <c r="C131" s="16"/>
      <c r="D131" s="16"/>
      <c r="E131" s="16"/>
      <c r="F131" s="16"/>
      <c r="G131" s="15"/>
      <c r="H131" s="15"/>
      <c r="I131" s="15"/>
      <c r="J131" s="15"/>
      <c r="K131" s="17" t="str">
        <f aca="false">IF(G131&gt;0,H131/G131,"")</f>
        <v/>
      </c>
      <c r="L131" s="31" t="str">
        <f aca="false">IF(AND(G131&gt;0,G131&gt;=$R$2),K131+ROW()/1000000000,"")</f>
        <v/>
      </c>
    </row>
    <row r="132" customFormat="false" ht="15" hidden="false" customHeight="false" outlineLevel="0" collapsed="false">
      <c r="A132" s="14"/>
      <c r="B132" s="16"/>
      <c r="C132" s="16"/>
      <c r="D132" s="16"/>
      <c r="E132" s="16"/>
      <c r="F132" s="16"/>
      <c r="G132" s="15"/>
      <c r="H132" s="15"/>
      <c r="I132" s="15"/>
      <c r="J132" s="15"/>
      <c r="K132" s="17" t="str">
        <f aca="false">IF(G132&gt;0,H132/G132,"")</f>
        <v/>
      </c>
      <c r="L132" s="31" t="str">
        <f aca="false">IF(AND(G132&gt;0,G132&gt;=$R$2),K132+ROW()/1000000000,"")</f>
        <v/>
      </c>
    </row>
    <row r="133" customFormat="false" ht="15" hidden="false" customHeight="false" outlineLevel="0" collapsed="false">
      <c r="A133" s="14"/>
      <c r="B133" s="16"/>
      <c r="C133" s="16"/>
      <c r="D133" s="16"/>
      <c r="E133" s="16"/>
      <c r="F133" s="16"/>
      <c r="G133" s="15"/>
      <c r="H133" s="15"/>
      <c r="I133" s="15"/>
      <c r="J133" s="15"/>
      <c r="K133" s="17" t="str">
        <f aca="false">IF(G133&gt;0,H133/G133,"")</f>
        <v/>
      </c>
      <c r="L133" s="31" t="str">
        <f aca="false">IF(AND(G133&gt;0,G133&gt;=$R$2),K133+ROW()/1000000000,"")</f>
        <v/>
      </c>
    </row>
    <row r="134" customFormat="false" ht="15" hidden="false" customHeight="false" outlineLevel="0" collapsed="false">
      <c r="A134" s="14"/>
      <c r="B134" s="16"/>
      <c r="C134" s="16"/>
      <c r="D134" s="16"/>
      <c r="E134" s="16"/>
      <c r="F134" s="16"/>
      <c r="G134" s="15"/>
      <c r="H134" s="15"/>
      <c r="I134" s="15"/>
      <c r="J134" s="15"/>
      <c r="K134" s="17" t="str">
        <f aca="false">IF(G134&gt;0,H134/G134,"")</f>
        <v/>
      </c>
      <c r="L134" s="31" t="str">
        <f aca="false">IF(AND(G134&gt;0,G134&gt;=$R$2),K134+ROW()/1000000000,"")</f>
        <v/>
      </c>
    </row>
    <row r="135" customFormat="false" ht="15" hidden="false" customHeight="false" outlineLevel="0" collapsed="false">
      <c r="A135" s="14"/>
      <c r="B135" s="16"/>
      <c r="C135" s="16"/>
      <c r="D135" s="16"/>
      <c r="E135" s="16"/>
      <c r="F135" s="16"/>
      <c r="G135" s="15"/>
      <c r="H135" s="15"/>
      <c r="I135" s="15"/>
      <c r="J135" s="15"/>
      <c r="K135" s="17" t="str">
        <f aca="false">IF(G135&gt;0,H135/G135,"")</f>
        <v/>
      </c>
      <c r="L135" s="31" t="str">
        <f aca="false">IF(AND(G135&gt;0,G135&gt;=$R$2),K135+ROW()/1000000000,"")</f>
        <v/>
      </c>
    </row>
    <row r="136" customFormat="false" ht="15" hidden="false" customHeight="false" outlineLevel="0" collapsed="false">
      <c r="A136" s="14"/>
      <c r="B136" s="16"/>
      <c r="C136" s="16"/>
      <c r="D136" s="16"/>
      <c r="E136" s="16"/>
      <c r="F136" s="16"/>
      <c r="G136" s="15"/>
      <c r="H136" s="15"/>
      <c r="I136" s="15"/>
      <c r="J136" s="15"/>
      <c r="K136" s="17" t="str">
        <f aca="false">IF(G136&gt;0,H136/G136,"")</f>
        <v/>
      </c>
      <c r="L136" s="31" t="str">
        <f aca="false">IF(AND(G136&gt;0,G136&gt;=$R$2),K136+ROW()/1000000000,"")</f>
        <v/>
      </c>
    </row>
    <row r="137" customFormat="false" ht="15" hidden="false" customHeight="false" outlineLevel="0" collapsed="false">
      <c r="A137" s="14"/>
      <c r="B137" s="16"/>
      <c r="C137" s="16"/>
      <c r="D137" s="16"/>
      <c r="E137" s="16"/>
      <c r="F137" s="16"/>
      <c r="G137" s="15"/>
      <c r="H137" s="15"/>
      <c r="I137" s="15"/>
      <c r="J137" s="15"/>
      <c r="K137" s="17" t="str">
        <f aca="false">IF(G137&gt;0,H137/G137,"")</f>
        <v/>
      </c>
      <c r="L137" s="31" t="str">
        <f aca="false">IF(AND(G137&gt;0,G137&gt;=$R$2),K137+ROW()/1000000000,"")</f>
        <v/>
      </c>
    </row>
    <row r="138" customFormat="false" ht="15" hidden="false" customHeight="false" outlineLevel="0" collapsed="false">
      <c r="A138" s="14"/>
      <c r="B138" s="16"/>
      <c r="C138" s="16"/>
      <c r="D138" s="16"/>
      <c r="E138" s="16"/>
      <c r="F138" s="16"/>
      <c r="G138" s="15"/>
      <c r="H138" s="15"/>
      <c r="I138" s="15"/>
      <c r="J138" s="15"/>
      <c r="K138" s="17" t="str">
        <f aca="false">IF(G138&gt;0,H138/G138,"")</f>
        <v/>
      </c>
      <c r="L138" s="31" t="str">
        <f aca="false">IF(AND(G138&gt;0,G138&gt;=$R$2),K138+ROW()/1000000000,"")</f>
        <v/>
      </c>
    </row>
    <row r="139" customFormat="false" ht="15" hidden="false" customHeight="false" outlineLevel="0" collapsed="false">
      <c r="A139" s="14"/>
      <c r="B139" s="16"/>
      <c r="C139" s="16"/>
      <c r="D139" s="16"/>
      <c r="E139" s="16"/>
      <c r="F139" s="16"/>
      <c r="G139" s="15"/>
      <c r="H139" s="15"/>
      <c r="I139" s="15"/>
      <c r="J139" s="15"/>
      <c r="K139" s="17" t="str">
        <f aca="false">IF(G139&gt;0,H139/G139,"")</f>
        <v/>
      </c>
      <c r="L139" s="31" t="str">
        <f aca="false">IF(AND(G139&gt;0,G139&gt;=$R$2),K139+ROW()/1000000000,"")</f>
        <v/>
      </c>
    </row>
    <row r="140" customFormat="false" ht="15" hidden="false" customHeight="false" outlineLevel="0" collapsed="false">
      <c r="A140" s="14"/>
      <c r="B140" s="16"/>
      <c r="C140" s="16"/>
      <c r="D140" s="16"/>
      <c r="E140" s="16"/>
      <c r="F140" s="16"/>
      <c r="G140" s="15"/>
      <c r="H140" s="15"/>
      <c r="I140" s="15"/>
      <c r="J140" s="15"/>
      <c r="K140" s="17" t="str">
        <f aca="false">IF(G140&gt;0,H140/G140,"")</f>
        <v/>
      </c>
      <c r="L140" s="31" t="str">
        <f aca="false">IF(AND(G140&gt;0,G140&gt;=$R$2),K140+ROW()/1000000000,"")</f>
        <v/>
      </c>
    </row>
    <row r="141" customFormat="false" ht="15" hidden="false" customHeight="false" outlineLevel="0" collapsed="false">
      <c r="A141" s="14"/>
      <c r="B141" s="16"/>
      <c r="C141" s="16"/>
      <c r="D141" s="16"/>
      <c r="E141" s="16"/>
      <c r="F141" s="16"/>
      <c r="G141" s="15"/>
      <c r="H141" s="15"/>
      <c r="I141" s="15"/>
      <c r="J141" s="15"/>
      <c r="K141" s="17" t="str">
        <f aca="false">IF(G141&gt;0,H141/G141,"")</f>
        <v/>
      </c>
      <c r="L141" s="31" t="str">
        <f aca="false">IF(AND(G141&gt;0,G141&gt;=$R$2),K141+ROW()/1000000000,"")</f>
        <v/>
      </c>
    </row>
    <row r="142" customFormat="false" ht="15" hidden="false" customHeight="false" outlineLevel="0" collapsed="false">
      <c r="A142" s="14"/>
      <c r="B142" s="16"/>
      <c r="C142" s="16"/>
      <c r="D142" s="16"/>
      <c r="E142" s="16"/>
      <c r="F142" s="16"/>
      <c r="G142" s="15"/>
      <c r="H142" s="15"/>
      <c r="I142" s="15"/>
      <c r="J142" s="15"/>
      <c r="K142" s="17" t="str">
        <f aca="false">IF(G142&gt;0,H142/G142,"")</f>
        <v/>
      </c>
      <c r="L142" s="31" t="str">
        <f aca="false">IF(AND(G142&gt;0,G142&gt;=$R$2),K142+ROW()/1000000000,"")</f>
        <v/>
      </c>
    </row>
    <row r="143" customFormat="false" ht="15" hidden="false" customHeight="false" outlineLevel="0" collapsed="false">
      <c r="A143" s="14"/>
      <c r="B143" s="16"/>
      <c r="C143" s="16"/>
      <c r="D143" s="16"/>
      <c r="E143" s="16"/>
      <c r="F143" s="16"/>
      <c r="G143" s="15"/>
      <c r="H143" s="15"/>
      <c r="I143" s="15"/>
      <c r="J143" s="15"/>
      <c r="K143" s="17" t="str">
        <f aca="false">IF(G143&gt;0,H143/G143,"")</f>
        <v/>
      </c>
      <c r="L143" s="31" t="str">
        <f aca="false">IF(AND(G143&gt;0,G143&gt;=$R$2),K143+ROW()/1000000000,"")</f>
        <v/>
      </c>
    </row>
    <row r="144" customFormat="false" ht="15" hidden="false" customHeight="false" outlineLevel="0" collapsed="false">
      <c r="A144" s="14"/>
      <c r="B144" s="16"/>
      <c r="C144" s="16"/>
      <c r="D144" s="16"/>
      <c r="E144" s="16"/>
      <c r="F144" s="16"/>
      <c r="G144" s="15"/>
      <c r="H144" s="15"/>
      <c r="I144" s="15"/>
      <c r="J144" s="15"/>
      <c r="K144" s="17" t="str">
        <f aca="false">IF(G144&gt;0,H144/G144,"")</f>
        <v/>
      </c>
      <c r="L144" s="31" t="str">
        <f aca="false">IF(AND(G144&gt;0,G144&gt;=$R$2),K144+ROW()/1000000000,"")</f>
        <v/>
      </c>
    </row>
    <row r="145" customFormat="false" ht="15" hidden="false" customHeight="false" outlineLevel="0" collapsed="false">
      <c r="A145" s="14"/>
      <c r="B145" s="16"/>
      <c r="C145" s="16"/>
      <c r="D145" s="16"/>
      <c r="E145" s="16"/>
      <c r="F145" s="16"/>
      <c r="G145" s="15"/>
      <c r="H145" s="15"/>
      <c r="I145" s="15"/>
      <c r="J145" s="15"/>
      <c r="K145" s="17" t="str">
        <f aca="false">IF(G145&gt;0,H145/G145,"")</f>
        <v/>
      </c>
      <c r="L145" s="31" t="str">
        <f aca="false">IF(AND(G145&gt;0,G145&gt;=$R$2),K145+ROW()/1000000000,"")</f>
        <v/>
      </c>
    </row>
    <row r="146" customFormat="false" ht="15" hidden="false" customHeight="false" outlineLevel="0" collapsed="false">
      <c r="A146" s="14"/>
      <c r="B146" s="16"/>
      <c r="C146" s="16"/>
      <c r="D146" s="16"/>
      <c r="E146" s="16"/>
      <c r="F146" s="16"/>
      <c r="G146" s="15"/>
      <c r="H146" s="15"/>
      <c r="I146" s="15"/>
      <c r="J146" s="15"/>
      <c r="K146" s="17" t="str">
        <f aca="false">IF(G146&gt;0,H146/G146,"")</f>
        <v/>
      </c>
      <c r="L146" s="31" t="str">
        <f aca="false">IF(AND(G146&gt;0,G146&gt;=$R$2),K146+ROW()/1000000000,"")</f>
        <v/>
      </c>
    </row>
    <row r="147" customFormat="false" ht="15" hidden="false" customHeight="false" outlineLevel="0" collapsed="false">
      <c r="A147" s="14"/>
      <c r="B147" s="16"/>
      <c r="C147" s="16"/>
      <c r="D147" s="16"/>
      <c r="E147" s="16"/>
      <c r="F147" s="16"/>
      <c r="G147" s="15"/>
      <c r="H147" s="15"/>
      <c r="I147" s="15"/>
      <c r="J147" s="15"/>
      <c r="K147" s="17" t="str">
        <f aca="false">IF(G147&gt;0,H147/G147,"")</f>
        <v/>
      </c>
      <c r="L147" s="31" t="str">
        <f aca="false">IF(AND(G147&gt;0,G147&gt;=$R$2),K147+ROW()/1000000000,"")</f>
        <v/>
      </c>
    </row>
    <row r="148" customFormat="false" ht="15" hidden="false" customHeight="false" outlineLevel="0" collapsed="false">
      <c r="A148" s="14"/>
      <c r="B148" s="16"/>
      <c r="C148" s="16"/>
      <c r="D148" s="16"/>
      <c r="E148" s="16"/>
      <c r="F148" s="16"/>
      <c r="G148" s="15"/>
      <c r="H148" s="15"/>
      <c r="I148" s="15"/>
      <c r="J148" s="15"/>
      <c r="K148" s="17" t="str">
        <f aca="false">IF(G148&gt;0,H148/G148,"")</f>
        <v/>
      </c>
      <c r="L148" s="31" t="str">
        <f aca="false">IF(AND(G148&gt;0,G148&gt;=$R$2),K148+ROW()/1000000000,"")</f>
        <v/>
      </c>
    </row>
    <row r="149" customFormat="false" ht="15" hidden="false" customHeight="false" outlineLevel="0" collapsed="false">
      <c r="A149" s="14"/>
      <c r="B149" s="16"/>
      <c r="C149" s="16"/>
      <c r="D149" s="16"/>
      <c r="E149" s="16"/>
      <c r="F149" s="16"/>
      <c r="G149" s="15"/>
      <c r="H149" s="15"/>
      <c r="I149" s="15"/>
      <c r="J149" s="15"/>
      <c r="K149" s="17" t="str">
        <f aca="false">IF(G149&gt;0,H149/G149,"")</f>
        <v/>
      </c>
      <c r="L149" s="31" t="str">
        <f aca="false">IF(AND(G149&gt;0,G149&gt;=$R$2),K149+ROW()/1000000000,"")</f>
        <v/>
      </c>
    </row>
    <row r="150" customFormat="false" ht="15" hidden="false" customHeight="false" outlineLevel="0" collapsed="false">
      <c r="A150" s="14"/>
      <c r="B150" s="16"/>
      <c r="C150" s="16"/>
      <c r="D150" s="16"/>
      <c r="E150" s="16"/>
      <c r="F150" s="16"/>
      <c r="G150" s="15"/>
      <c r="H150" s="15"/>
      <c r="I150" s="15"/>
      <c r="J150" s="15"/>
      <c r="K150" s="17" t="str">
        <f aca="false">IF(G150&gt;0,H150/G150,"")</f>
        <v/>
      </c>
      <c r="L150" s="31" t="str">
        <f aca="false">IF(AND(G150&gt;0,G150&gt;=$R$2),K150+ROW()/1000000000,"")</f>
        <v/>
      </c>
    </row>
    <row r="151" customFormat="false" ht="15" hidden="false" customHeight="false" outlineLevel="0" collapsed="false">
      <c r="A151" s="14"/>
      <c r="B151" s="16"/>
      <c r="C151" s="16"/>
      <c r="D151" s="16"/>
      <c r="E151" s="16"/>
      <c r="F151" s="16"/>
      <c r="G151" s="15"/>
      <c r="H151" s="15"/>
      <c r="I151" s="15"/>
      <c r="J151" s="15"/>
      <c r="K151" s="17" t="str">
        <f aca="false">IF(G151&gt;0,H151/G151,"")</f>
        <v/>
      </c>
      <c r="L151" s="31" t="str">
        <f aca="false">IF(AND(G151&gt;0,G151&gt;=$R$2),K151+ROW()/1000000000,"")</f>
        <v/>
      </c>
    </row>
    <row r="152" customFormat="false" ht="15" hidden="false" customHeight="false" outlineLevel="0" collapsed="false">
      <c r="A152" s="14"/>
      <c r="B152" s="16"/>
      <c r="C152" s="16"/>
      <c r="D152" s="16"/>
      <c r="E152" s="16"/>
      <c r="F152" s="16"/>
      <c r="G152" s="15"/>
      <c r="H152" s="15"/>
      <c r="I152" s="15"/>
      <c r="J152" s="15"/>
      <c r="K152" s="17" t="str">
        <f aca="false">IF(G152&gt;0,H152/G152,"")</f>
        <v/>
      </c>
      <c r="L152" s="31" t="str">
        <f aca="false">IF(AND(G152&gt;0,G152&gt;=$R$2),K152+ROW()/1000000000,"")</f>
        <v/>
      </c>
    </row>
    <row r="153" customFormat="false" ht="15" hidden="false" customHeight="false" outlineLevel="0" collapsed="false">
      <c r="A153" s="14"/>
      <c r="B153" s="16"/>
      <c r="C153" s="16"/>
      <c r="D153" s="16"/>
      <c r="E153" s="16"/>
      <c r="F153" s="16"/>
      <c r="G153" s="15"/>
      <c r="H153" s="15"/>
      <c r="I153" s="15"/>
      <c r="J153" s="15"/>
      <c r="K153" s="17" t="str">
        <f aca="false">IF(G153&gt;0,H153/G153,"")</f>
        <v/>
      </c>
      <c r="L153" s="31" t="str">
        <f aca="false">IF(AND(G153&gt;0,G153&gt;=$R$2),K153+ROW()/1000000000,"")</f>
        <v/>
      </c>
    </row>
    <row r="154" customFormat="false" ht="15" hidden="false" customHeight="false" outlineLevel="0" collapsed="false">
      <c r="A154" s="14"/>
      <c r="B154" s="16"/>
      <c r="C154" s="16"/>
      <c r="D154" s="16"/>
      <c r="E154" s="16"/>
      <c r="F154" s="16"/>
      <c r="G154" s="15"/>
      <c r="H154" s="15"/>
      <c r="I154" s="15"/>
      <c r="J154" s="15"/>
      <c r="K154" s="17" t="str">
        <f aca="false">IF(G154&gt;0,H154/G154,"")</f>
        <v/>
      </c>
      <c r="L154" s="31" t="str">
        <f aca="false">IF(AND(G154&gt;0,G154&gt;=$R$2),K154+ROW()/1000000000,"")</f>
        <v/>
      </c>
    </row>
    <row r="155" customFormat="false" ht="15" hidden="false" customHeight="false" outlineLevel="0" collapsed="false">
      <c r="A155" s="14"/>
      <c r="B155" s="16"/>
      <c r="C155" s="16"/>
      <c r="D155" s="16"/>
      <c r="E155" s="16"/>
      <c r="F155" s="16"/>
      <c r="G155" s="15"/>
      <c r="H155" s="15"/>
      <c r="I155" s="15"/>
      <c r="J155" s="15"/>
      <c r="K155" s="17" t="str">
        <f aca="false">IF(G155&gt;0,H155/G155,"")</f>
        <v/>
      </c>
      <c r="L155" s="31" t="str">
        <f aca="false">IF(AND(G155&gt;0,G155&gt;=$R$2),K155+ROW()/1000000000,"")</f>
        <v/>
      </c>
    </row>
    <row r="156" customFormat="false" ht="15" hidden="false" customHeight="false" outlineLevel="0" collapsed="false">
      <c r="A156" s="14"/>
      <c r="B156" s="16"/>
      <c r="C156" s="16"/>
      <c r="D156" s="16"/>
      <c r="E156" s="16"/>
      <c r="F156" s="16"/>
      <c r="G156" s="15"/>
      <c r="H156" s="15"/>
      <c r="I156" s="15"/>
      <c r="J156" s="15"/>
      <c r="K156" s="17" t="str">
        <f aca="false">IF(G156&gt;0,H156/G156,"")</f>
        <v/>
      </c>
      <c r="L156" s="31" t="str">
        <f aca="false">IF(AND(G156&gt;0,G156&gt;=$R$2),K156+ROW()/1000000000,"")</f>
        <v/>
      </c>
    </row>
    <row r="157" customFormat="false" ht="15" hidden="false" customHeight="false" outlineLevel="0" collapsed="false">
      <c r="A157" s="14"/>
      <c r="B157" s="16"/>
      <c r="C157" s="16"/>
      <c r="D157" s="16"/>
      <c r="E157" s="16"/>
      <c r="F157" s="16"/>
      <c r="G157" s="15"/>
      <c r="H157" s="15"/>
      <c r="I157" s="15"/>
      <c r="J157" s="15"/>
      <c r="K157" s="17" t="str">
        <f aca="false">IF(G157&gt;0,H157/G157,"")</f>
        <v/>
      </c>
      <c r="L157" s="31" t="str">
        <f aca="false">IF(AND(G157&gt;0,G157&gt;=$R$2),K157+ROW()/1000000000,"")</f>
        <v/>
      </c>
    </row>
    <row r="158" customFormat="false" ht="15" hidden="false" customHeight="false" outlineLevel="0" collapsed="false">
      <c r="A158" s="14"/>
      <c r="B158" s="16"/>
      <c r="C158" s="16"/>
      <c r="D158" s="16"/>
      <c r="E158" s="16"/>
      <c r="F158" s="16"/>
      <c r="G158" s="15"/>
      <c r="H158" s="15"/>
      <c r="I158" s="15"/>
      <c r="J158" s="15"/>
      <c r="K158" s="17" t="str">
        <f aca="false">IF(G158&gt;0,H158/G158,"")</f>
        <v/>
      </c>
      <c r="L158" s="31" t="str">
        <f aca="false">IF(AND(G158&gt;0,G158&gt;=$R$2),K158+ROW()/1000000000,"")</f>
        <v/>
      </c>
    </row>
    <row r="159" customFormat="false" ht="15" hidden="false" customHeight="false" outlineLevel="0" collapsed="false">
      <c r="A159" s="14"/>
      <c r="B159" s="16"/>
      <c r="C159" s="16"/>
      <c r="D159" s="16"/>
      <c r="E159" s="16"/>
      <c r="F159" s="16"/>
      <c r="G159" s="15"/>
      <c r="H159" s="15"/>
      <c r="I159" s="15"/>
      <c r="J159" s="15"/>
      <c r="K159" s="17" t="str">
        <f aca="false">IF(G159&gt;0,H159/G159,"")</f>
        <v/>
      </c>
      <c r="L159" s="31" t="str">
        <f aca="false">IF(AND(G159&gt;0,G159&gt;=$R$2),K159+ROW()/1000000000,"")</f>
        <v/>
      </c>
    </row>
    <row r="160" customFormat="false" ht="15" hidden="false" customHeight="false" outlineLevel="0" collapsed="false">
      <c r="A160" s="14"/>
      <c r="B160" s="16"/>
      <c r="C160" s="16"/>
      <c r="D160" s="16"/>
      <c r="E160" s="16"/>
      <c r="F160" s="16"/>
      <c r="G160" s="15"/>
      <c r="H160" s="15"/>
      <c r="I160" s="15"/>
      <c r="J160" s="15"/>
      <c r="K160" s="17" t="str">
        <f aca="false">IF(G160&gt;0,H160/G160,"")</f>
        <v/>
      </c>
      <c r="L160" s="31" t="str">
        <f aca="false">IF(AND(G160&gt;0,G160&gt;=$R$2),K160+ROW()/1000000000,"")</f>
        <v/>
      </c>
    </row>
    <row r="161" customFormat="false" ht="15" hidden="false" customHeight="false" outlineLevel="0" collapsed="false">
      <c r="A161" s="14"/>
      <c r="B161" s="16"/>
      <c r="C161" s="16"/>
      <c r="D161" s="16"/>
      <c r="E161" s="16"/>
      <c r="F161" s="16"/>
      <c r="G161" s="15"/>
      <c r="H161" s="15"/>
      <c r="I161" s="15"/>
      <c r="J161" s="15"/>
      <c r="K161" s="17" t="str">
        <f aca="false">IF(G161&gt;0,H161/G161,"")</f>
        <v/>
      </c>
      <c r="L161" s="31" t="str">
        <f aca="false">IF(AND(G161&gt;0,G161&gt;=$R$2),K161+ROW()/1000000000,"")</f>
        <v/>
      </c>
    </row>
    <row r="162" customFormat="false" ht="15" hidden="false" customHeight="false" outlineLevel="0" collapsed="false">
      <c r="A162" s="14"/>
      <c r="B162" s="16"/>
      <c r="C162" s="16"/>
      <c r="D162" s="16"/>
      <c r="E162" s="16"/>
      <c r="F162" s="16"/>
      <c r="G162" s="15"/>
      <c r="H162" s="15"/>
      <c r="I162" s="15"/>
      <c r="J162" s="15"/>
      <c r="K162" s="17" t="str">
        <f aca="false">IF(G162&gt;0,H162/G162,"")</f>
        <v/>
      </c>
      <c r="L162" s="31" t="str">
        <f aca="false">IF(AND(G162&gt;0,G162&gt;=$R$2),K162+ROW()/1000000000,"")</f>
        <v/>
      </c>
    </row>
    <row r="163" customFormat="false" ht="15" hidden="false" customHeight="false" outlineLevel="0" collapsed="false">
      <c r="A163" s="14"/>
      <c r="B163" s="16"/>
      <c r="C163" s="16"/>
      <c r="D163" s="16"/>
      <c r="E163" s="16"/>
      <c r="F163" s="16"/>
      <c r="G163" s="15"/>
      <c r="H163" s="15"/>
      <c r="I163" s="15"/>
      <c r="J163" s="15"/>
      <c r="K163" s="17" t="str">
        <f aca="false">IF(G163&gt;0,H163/G163,"")</f>
        <v/>
      </c>
      <c r="L163" s="31" t="str">
        <f aca="false">IF(AND(G163&gt;0,G163&gt;=$R$2),K163+ROW()/1000000000,"")</f>
        <v/>
      </c>
    </row>
    <row r="164" customFormat="false" ht="15" hidden="false" customHeight="false" outlineLevel="0" collapsed="false">
      <c r="A164" s="14"/>
      <c r="B164" s="16"/>
      <c r="C164" s="16"/>
      <c r="D164" s="16"/>
      <c r="E164" s="16"/>
      <c r="F164" s="16"/>
      <c r="G164" s="15"/>
      <c r="H164" s="15"/>
      <c r="I164" s="15"/>
      <c r="J164" s="15"/>
      <c r="K164" s="17" t="str">
        <f aca="false">IF(G164&gt;0,H164/G164,"")</f>
        <v/>
      </c>
      <c r="L164" s="31" t="str">
        <f aca="false">IF(AND(G164&gt;0,G164&gt;=$R$2),K164+ROW()/1000000000,"")</f>
        <v/>
      </c>
    </row>
    <row r="165" customFormat="false" ht="15" hidden="false" customHeight="false" outlineLevel="0" collapsed="false">
      <c r="A165" s="14"/>
      <c r="B165" s="16"/>
      <c r="C165" s="16"/>
      <c r="D165" s="16"/>
      <c r="E165" s="16"/>
      <c r="F165" s="16"/>
      <c r="G165" s="15"/>
      <c r="H165" s="15"/>
      <c r="I165" s="15"/>
      <c r="J165" s="15"/>
      <c r="K165" s="17" t="str">
        <f aca="false">IF(G165&gt;0,H165/G165,"")</f>
        <v/>
      </c>
      <c r="L165" s="31" t="str">
        <f aca="false">IF(AND(G165&gt;0,G165&gt;=$R$2),K165+ROW()/1000000000,"")</f>
        <v/>
      </c>
    </row>
    <row r="166" customFormat="false" ht="15" hidden="false" customHeight="false" outlineLevel="0" collapsed="false">
      <c r="A166" s="14"/>
      <c r="B166" s="16"/>
      <c r="C166" s="16"/>
      <c r="D166" s="16"/>
      <c r="E166" s="16"/>
      <c r="F166" s="16"/>
      <c r="G166" s="15"/>
      <c r="H166" s="15"/>
      <c r="I166" s="15"/>
      <c r="J166" s="15"/>
      <c r="K166" s="17" t="str">
        <f aca="false">IF(G166&gt;0,H166/G166,"")</f>
        <v/>
      </c>
      <c r="L166" s="31" t="str">
        <f aca="false">IF(AND(G166&gt;0,G166&gt;=$R$2),K166+ROW()/1000000000,"")</f>
        <v/>
      </c>
    </row>
    <row r="167" customFormat="false" ht="15" hidden="false" customHeight="false" outlineLevel="0" collapsed="false">
      <c r="A167" s="14"/>
      <c r="B167" s="16"/>
      <c r="C167" s="16"/>
      <c r="D167" s="16"/>
      <c r="E167" s="16"/>
      <c r="F167" s="16"/>
      <c r="G167" s="15"/>
      <c r="H167" s="15"/>
      <c r="I167" s="15"/>
      <c r="J167" s="15"/>
      <c r="K167" s="17" t="str">
        <f aca="false">IF(G167&gt;0,H167/G167,"")</f>
        <v/>
      </c>
      <c r="L167" s="31" t="str">
        <f aca="false">IF(AND(G167&gt;0,G167&gt;=$R$2),K167+ROW()/1000000000,"")</f>
        <v/>
      </c>
    </row>
    <row r="168" customFormat="false" ht="15" hidden="false" customHeight="false" outlineLevel="0" collapsed="false">
      <c r="A168" s="14"/>
      <c r="B168" s="16"/>
      <c r="C168" s="16"/>
      <c r="D168" s="16"/>
      <c r="E168" s="16"/>
      <c r="F168" s="16"/>
      <c r="G168" s="15"/>
      <c r="H168" s="15"/>
      <c r="I168" s="15"/>
      <c r="J168" s="15"/>
      <c r="K168" s="17" t="str">
        <f aca="false">IF(G168&gt;0,H168/G168,"")</f>
        <v/>
      </c>
      <c r="L168" s="31" t="str">
        <f aca="false">IF(AND(G168&gt;0,G168&gt;=$R$2),K168+ROW()/1000000000,"")</f>
        <v/>
      </c>
    </row>
    <row r="169" customFormat="false" ht="15" hidden="false" customHeight="false" outlineLevel="0" collapsed="false">
      <c r="A169" s="14"/>
      <c r="B169" s="16"/>
      <c r="C169" s="16"/>
      <c r="D169" s="16"/>
      <c r="E169" s="16"/>
      <c r="F169" s="16"/>
      <c r="G169" s="15"/>
      <c r="H169" s="15"/>
      <c r="I169" s="15"/>
      <c r="J169" s="15"/>
      <c r="K169" s="17" t="str">
        <f aca="false">IF(G169&gt;0,H169/G169,"")</f>
        <v/>
      </c>
      <c r="L169" s="31" t="str">
        <f aca="false">IF(AND(G169&gt;0,G169&gt;=$R$2),K169+ROW()/1000000000,"")</f>
        <v/>
      </c>
    </row>
    <row r="170" customFormat="false" ht="15" hidden="false" customHeight="false" outlineLevel="0" collapsed="false">
      <c r="A170" s="14"/>
      <c r="B170" s="16"/>
      <c r="C170" s="16"/>
      <c r="D170" s="16"/>
      <c r="E170" s="16"/>
      <c r="F170" s="16"/>
      <c r="G170" s="15"/>
      <c r="H170" s="15"/>
      <c r="I170" s="15"/>
      <c r="J170" s="15"/>
      <c r="K170" s="17" t="str">
        <f aca="false">IF(G170&gt;0,H170/G170,"")</f>
        <v/>
      </c>
      <c r="L170" s="31" t="str">
        <f aca="false">IF(AND(G170&gt;0,G170&gt;=$R$2),K170+ROW()/1000000000,"")</f>
        <v/>
      </c>
    </row>
    <row r="171" customFormat="false" ht="15" hidden="false" customHeight="false" outlineLevel="0" collapsed="false">
      <c r="A171" s="14"/>
      <c r="B171" s="16"/>
      <c r="C171" s="16"/>
      <c r="D171" s="16"/>
      <c r="E171" s="16"/>
      <c r="F171" s="16"/>
      <c r="G171" s="15"/>
      <c r="H171" s="15"/>
      <c r="I171" s="15"/>
      <c r="J171" s="15"/>
      <c r="K171" s="17" t="str">
        <f aca="false">IF(G171&gt;0,H171/G171,"")</f>
        <v/>
      </c>
      <c r="L171" s="31" t="str">
        <f aca="false">IF(AND(G171&gt;0,G171&gt;=$R$2),K171+ROW()/1000000000,"")</f>
        <v/>
      </c>
    </row>
    <row r="172" customFormat="false" ht="15" hidden="false" customHeight="false" outlineLevel="0" collapsed="false">
      <c r="A172" s="14"/>
      <c r="B172" s="16"/>
      <c r="C172" s="16"/>
      <c r="D172" s="16"/>
      <c r="E172" s="16"/>
      <c r="F172" s="16"/>
      <c r="G172" s="15"/>
      <c r="H172" s="15"/>
      <c r="I172" s="15"/>
      <c r="J172" s="15"/>
      <c r="K172" s="17" t="str">
        <f aca="false">IF(G172&gt;0,H172/G172,"")</f>
        <v/>
      </c>
      <c r="L172" s="31" t="str">
        <f aca="false">IF(AND(G172&gt;0,G172&gt;=$R$2),K172+ROW()/1000000000,"")</f>
        <v/>
      </c>
    </row>
    <row r="173" customFormat="false" ht="15" hidden="false" customHeight="false" outlineLevel="0" collapsed="false">
      <c r="A173" s="14"/>
      <c r="B173" s="16"/>
      <c r="C173" s="16"/>
      <c r="D173" s="16"/>
      <c r="E173" s="16"/>
      <c r="F173" s="16"/>
      <c r="G173" s="15"/>
      <c r="H173" s="15"/>
      <c r="I173" s="15"/>
      <c r="J173" s="15"/>
      <c r="K173" s="17" t="str">
        <f aca="false">IF(G173&gt;0,H173/G173,"")</f>
        <v/>
      </c>
      <c r="L173" s="31" t="str">
        <f aca="false">IF(AND(G173&gt;0,G173&gt;=$R$2),K173+ROW()/1000000000,"")</f>
        <v/>
      </c>
    </row>
    <row r="174" customFormat="false" ht="15" hidden="false" customHeight="false" outlineLevel="0" collapsed="false">
      <c r="A174" s="14"/>
      <c r="B174" s="16"/>
      <c r="C174" s="16"/>
      <c r="D174" s="16"/>
      <c r="E174" s="16"/>
      <c r="F174" s="16"/>
      <c r="G174" s="15"/>
      <c r="H174" s="15"/>
      <c r="I174" s="15"/>
      <c r="J174" s="15"/>
      <c r="K174" s="17" t="str">
        <f aca="false">IF(G174&gt;0,H174/G174,"")</f>
        <v/>
      </c>
      <c r="L174" s="31" t="str">
        <f aca="false">IF(AND(G174&gt;0,G174&gt;=$R$2),K174+ROW()/1000000000,"")</f>
        <v/>
      </c>
    </row>
    <row r="175" customFormat="false" ht="15" hidden="false" customHeight="false" outlineLevel="0" collapsed="false">
      <c r="A175" s="14"/>
      <c r="B175" s="16"/>
      <c r="C175" s="16"/>
      <c r="D175" s="16"/>
      <c r="E175" s="16"/>
      <c r="F175" s="16"/>
      <c r="G175" s="15"/>
      <c r="H175" s="15"/>
      <c r="I175" s="15"/>
      <c r="J175" s="15"/>
      <c r="K175" s="17" t="str">
        <f aca="false">IF(G175&gt;0,H175/G175,"")</f>
        <v/>
      </c>
      <c r="L175" s="31" t="str">
        <f aca="false">IF(AND(G175&gt;0,G175&gt;=$R$2),K175+ROW()/1000000000,"")</f>
        <v/>
      </c>
    </row>
    <row r="176" customFormat="false" ht="15" hidden="false" customHeight="false" outlineLevel="0" collapsed="false">
      <c r="A176" s="14"/>
      <c r="B176" s="16"/>
      <c r="C176" s="16"/>
      <c r="D176" s="16"/>
      <c r="E176" s="16"/>
      <c r="F176" s="16"/>
      <c r="G176" s="15"/>
      <c r="H176" s="15"/>
      <c r="I176" s="15"/>
      <c r="J176" s="15"/>
      <c r="K176" s="17" t="str">
        <f aca="false">IF(G176&gt;0,H176/G176,"")</f>
        <v/>
      </c>
      <c r="L176" s="31" t="str">
        <f aca="false">IF(AND(G176&gt;0,G176&gt;=$R$2),K176+ROW()/1000000000,"")</f>
        <v/>
      </c>
    </row>
    <row r="177" customFormat="false" ht="15" hidden="false" customHeight="false" outlineLevel="0" collapsed="false">
      <c r="A177" s="14"/>
      <c r="B177" s="16"/>
      <c r="C177" s="16"/>
      <c r="D177" s="16"/>
      <c r="E177" s="16"/>
      <c r="F177" s="16"/>
      <c r="G177" s="15"/>
      <c r="H177" s="15"/>
      <c r="I177" s="15"/>
      <c r="J177" s="15"/>
      <c r="K177" s="17" t="str">
        <f aca="false">IF(G177&gt;0,H177/G177,"")</f>
        <v/>
      </c>
      <c r="L177" s="31" t="str">
        <f aca="false">IF(AND(G177&gt;0,G177&gt;=$R$2),K177+ROW()/1000000000,"")</f>
        <v/>
      </c>
    </row>
    <row r="178" customFormat="false" ht="15" hidden="false" customHeight="false" outlineLevel="0" collapsed="false">
      <c r="A178" s="14"/>
      <c r="B178" s="16"/>
      <c r="C178" s="16"/>
      <c r="D178" s="16"/>
      <c r="E178" s="16"/>
      <c r="F178" s="16"/>
      <c r="G178" s="15"/>
      <c r="H178" s="15"/>
      <c r="I178" s="15"/>
      <c r="J178" s="15"/>
      <c r="K178" s="17" t="str">
        <f aca="false">IF(G178&gt;0,H178/G178,"")</f>
        <v/>
      </c>
      <c r="L178" s="31" t="str">
        <f aca="false">IF(AND(G178&gt;0,G178&gt;=$R$2),K178+ROW()/1000000000,"")</f>
        <v/>
      </c>
    </row>
    <row r="179" customFormat="false" ht="15" hidden="false" customHeight="false" outlineLevel="0" collapsed="false">
      <c r="A179" s="14"/>
      <c r="B179" s="16"/>
      <c r="C179" s="16"/>
      <c r="D179" s="16"/>
      <c r="E179" s="16"/>
      <c r="F179" s="16"/>
      <c r="G179" s="15"/>
      <c r="H179" s="15"/>
      <c r="I179" s="15"/>
      <c r="J179" s="15"/>
      <c r="K179" s="17" t="str">
        <f aca="false">IF(G179&gt;0,H179/G179,"")</f>
        <v/>
      </c>
      <c r="L179" s="31" t="str">
        <f aca="false">IF(AND(G179&gt;0,G179&gt;=$R$2),K179+ROW()/1000000000,"")</f>
        <v/>
      </c>
    </row>
    <row r="180" customFormat="false" ht="15" hidden="false" customHeight="false" outlineLevel="0" collapsed="false">
      <c r="A180" s="14"/>
      <c r="B180" s="16"/>
      <c r="C180" s="16"/>
      <c r="D180" s="16"/>
      <c r="E180" s="16"/>
      <c r="F180" s="16"/>
      <c r="G180" s="15"/>
      <c r="H180" s="15"/>
      <c r="I180" s="15"/>
      <c r="J180" s="15"/>
      <c r="K180" s="17" t="str">
        <f aca="false">IF(G180&gt;0,H180/G180,"")</f>
        <v/>
      </c>
      <c r="L180" s="31" t="str">
        <f aca="false">IF(AND(G180&gt;0,G180&gt;=$R$2),K180+ROW()/1000000000,"")</f>
        <v/>
      </c>
    </row>
    <row r="181" customFormat="false" ht="15" hidden="false" customHeight="false" outlineLevel="0" collapsed="false">
      <c r="A181" s="14"/>
      <c r="B181" s="16"/>
      <c r="C181" s="16"/>
      <c r="D181" s="16"/>
      <c r="E181" s="16"/>
      <c r="F181" s="16"/>
      <c r="G181" s="15"/>
      <c r="H181" s="15"/>
      <c r="I181" s="15"/>
      <c r="J181" s="15"/>
      <c r="K181" s="17" t="str">
        <f aca="false">IF(G181&gt;0,H181/G181,"")</f>
        <v/>
      </c>
      <c r="L181" s="31" t="str">
        <f aca="false">IF(AND(G181&gt;0,G181&gt;=$R$2),K181+ROW()/1000000000,"")</f>
        <v/>
      </c>
    </row>
    <row r="182" customFormat="false" ht="15" hidden="false" customHeight="false" outlineLevel="0" collapsed="false">
      <c r="A182" s="14"/>
      <c r="B182" s="16"/>
      <c r="C182" s="16"/>
      <c r="D182" s="16"/>
      <c r="E182" s="16"/>
      <c r="F182" s="16"/>
      <c r="G182" s="15"/>
      <c r="H182" s="15"/>
      <c r="I182" s="15"/>
      <c r="J182" s="15"/>
      <c r="K182" s="17" t="str">
        <f aca="false">IF(G182&gt;0,H182/G182,"")</f>
        <v/>
      </c>
      <c r="L182" s="31" t="str">
        <f aca="false">IF(AND(G182&gt;0,G182&gt;=$R$2),K182+ROW()/1000000000,"")</f>
        <v/>
      </c>
    </row>
    <row r="183" customFormat="false" ht="15" hidden="false" customHeight="false" outlineLevel="0" collapsed="false">
      <c r="A183" s="14"/>
      <c r="B183" s="16"/>
      <c r="C183" s="16"/>
      <c r="D183" s="16"/>
      <c r="E183" s="16"/>
      <c r="F183" s="16"/>
      <c r="G183" s="15"/>
      <c r="H183" s="15"/>
      <c r="I183" s="15"/>
      <c r="J183" s="15"/>
      <c r="K183" s="17" t="str">
        <f aca="false">IF(G183&gt;0,H183/G183,"")</f>
        <v/>
      </c>
      <c r="L183" s="31" t="str">
        <f aca="false">IF(AND(G183&gt;0,G183&gt;=$R$2),K183+ROW()/1000000000,"")</f>
        <v/>
      </c>
    </row>
    <row r="184" customFormat="false" ht="15" hidden="false" customHeight="false" outlineLevel="0" collapsed="false">
      <c r="A184" s="14"/>
      <c r="B184" s="16"/>
      <c r="C184" s="16"/>
      <c r="D184" s="16"/>
      <c r="E184" s="16"/>
      <c r="F184" s="16"/>
      <c r="G184" s="15"/>
      <c r="H184" s="15"/>
      <c r="I184" s="15"/>
      <c r="J184" s="15"/>
      <c r="K184" s="17" t="str">
        <f aca="false">IF(G184&gt;0,H184/G184,"")</f>
        <v/>
      </c>
      <c r="L184" s="31" t="str">
        <f aca="false">IF(AND(G184&gt;0,G184&gt;=$R$2),K184+ROW()/1000000000,"")</f>
        <v/>
      </c>
    </row>
    <row r="185" customFormat="false" ht="15" hidden="false" customHeight="false" outlineLevel="0" collapsed="false">
      <c r="A185" s="14"/>
      <c r="B185" s="16"/>
      <c r="C185" s="16"/>
      <c r="D185" s="16"/>
      <c r="E185" s="16"/>
      <c r="F185" s="16"/>
      <c r="G185" s="15"/>
      <c r="H185" s="15"/>
      <c r="I185" s="15"/>
      <c r="J185" s="15"/>
      <c r="K185" s="17" t="str">
        <f aca="false">IF(G185&gt;0,H185/G185,"")</f>
        <v/>
      </c>
      <c r="L185" s="31" t="str">
        <f aca="false">IF(AND(G185&gt;0,G185&gt;=$R$2),K185+ROW()/1000000000,"")</f>
        <v/>
      </c>
    </row>
    <row r="186" customFormat="false" ht="15" hidden="false" customHeight="false" outlineLevel="0" collapsed="false">
      <c r="A186" s="14"/>
      <c r="B186" s="16"/>
      <c r="C186" s="16"/>
      <c r="D186" s="16"/>
      <c r="E186" s="16"/>
      <c r="F186" s="16"/>
      <c r="G186" s="15"/>
      <c r="H186" s="15"/>
      <c r="I186" s="15"/>
      <c r="J186" s="15"/>
      <c r="K186" s="17" t="str">
        <f aca="false">IF(G186&gt;0,H186/G186,"")</f>
        <v/>
      </c>
      <c r="L186" s="31" t="str">
        <f aca="false">IF(AND(G186&gt;0,G186&gt;=$R$2),K186+ROW()/1000000000,"")</f>
        <v/>
      </c>
    </row>
    <row r="187" customFormat="false" ht="15" hidden="false" customHeight="false" outlineLevel="0" collapsed="false">
      <c r="A187" s="14"/>
      <c r="B187" s="16"/>
      <c r="C187" s="16"/>
      <c r="D187" s="16"/>
      <c r="E187" s="16"/>
      <c r="F187" s="16"/>
      <c r="G187" s="15"/>
      <c r="H187" s="15"/>
      <c r="I187" s="15"/>
      <c r="J187" s="15"/>
      <c r="K187" s="17" t="str">
        <f aca="false">IF(G187&gt;0,H187/G187,"")</f>
        <v/>
      </c>
      <c r="L187" s="31" t="str">
        <f aca="false">IF(AND(G187&gt;0,G187&gt;=$R$2),K187+ROW()/1000000000,"")</f>
        <v/>
      </c>
    </row>
    <row r="188" customFormat="false" ht="15" hidden="false" customHeight="false" outlineLevel="0" collapsed="false">
      <c r="A188" s="14"/>
      <c r="B188" s="16"/>
      <c r="C188" s="16"/>
      <c r="D188" s="16"/>
      <c r="E188" s="16"/>
      <c r="F188" s="16"/>
      <c r="G188" s="15"/>
      <c r="H188" s="15"/>
      <c r="I188" s="15"/>
      <c r="J188" s="15"/>
      <c r="K188" s="17" t="str">
        <f aca="false">IF(G188&gt;0,H188/G188,"")</f>
        <v/>
      </c>
      <c r="L188" s="31" t="str">
        <f aca="false">IF(AND(G188&gt;0,G188&gt;=$R$2),K188+ROW()/1000000000,"")</f>
        <v/>
      </c>
    </row>
    <row r="189" customFormat="false" ht="15" hidden="false" customHeight="false" outlineLevel="0" collapsed="false">
      <c r="A189" s="14"/>
      <c r="B189" s="16"/>
      <c r="C189" s="16"/>
      <c r="D189" s="16"/>
      <c r="E189" s="16"/>
      <c r="F189" s="16"/>
      <c r="G189" s="15"/>
      <c r="H189" s="15"/>
      <c r="I189" s="15"/>
      <c r="J189" s="15"/>
      <c r="K189" s="17" t="str">
        <f aca="false">IF(G189&gt;0,H189/G189,"")</f>
        <v/>
      </c>
      <c r="L189" s="31" t="str">
        <f aca="false">IF(AND(G189&gt;0,G189&gt;=$R$2),K189+ROW()/1000000000,"")</f>
        <v/>
      </c>
    </row>
    <row r="190" customFormat="false" ht="15" hidden="false" customHeight="false" outlineLevel="0" collapsed="false">
      <c r="A190" s="14"/>
      <c r="B190" s="16"/>
      <c r="C190" s="16"/>
      <c r="D190" s="16"/>
      <c r="E190" s="16"/>
      <c r="F190" s="16"/>
      <c r="G190" s="15"/>
      <c r="H190" s="15"/>
      <c r="I190" s="15"/>
      <c r="J190" s="15"/>
      <c r="K190" s="17" t="str">
        <f aca="false">IF(G190&gt;0,H190/G190,"")</f>
        <v/>
      </c>
      <c r="L190" s="31" t="str">
        <f aca="false">IF(AND(G190&gt;0,G190&gt;=$R$2),K190+ROW()/1000000000,"")</f>
        <v/>
      </c>
    </row>
    <row r="191" customFormat="false" ht="15" hidden="false" customHeight="false" outlineLevel="0" collapsed="false">
      <c r="A191" s="14"/>
      <c r="B191" s="16"/>
      <c r="C191" s="16"/>
      <c r="D191" s="16"/>
      <c r="E191" s="16"/>
      <c r="F191" s="16"/>
      <c r="G191" s="15"/>
      <c r="H191" s="15"/>
      <c r="I191" s="15"/>
      <c r="J191" s="15"/>
      <c r="K191" s="17" t="str">
        <f aca="false">IF(G191&gt;0,H191/G191,"")</f>
        <v/>
      </c>
      <c r="L191" s="31" t="str">
        <f aca="false">IF(AND(G191&gt;0,G191&gt;=$R$2),K191+ROW()/1000000000,"")</f>
        <v/>
      </c>
    </row>
    <row r="192" customFormat="false" ht="15" hidden="false" customHeight="false" outlineLevel="0" collapsed="false">
      <c r="A192" s="14"/>
      <c r="B192" s="16"/>
      <c r="C192" s="16"/>
      <c r="D192" s="16"/>
      <c r="E192" s="16"/>
      <c r="F192" s="16"/>
      <c r="G192" s="15"/>
      <c r="H192" s="15"/>
      <c r="I192" s="15"/>
      <c r="J192" s="15"/>
      <c r="K192" s="17" t="str">
        <f aca="false">IF(G192&gt;0,H192/G192,"")</f>
        <v/>
      </c>
      <c r="L192" s="31" t="str">
        <f aca="false">IF(AND(G192&gt;0,G192&gt;=$R$2),K192+ROW()/1000000000,"")</f>
        <v/>
      </c>
    </row>
    <row r="193" customFormat="false" ht="15" hidden="false" customHeight="false" outlineLevel="0" collapsed="false">
      <c r="A193" s="14"/>
      <c r="B193" s="16"/>
      <c r="C193" s="16"/>
      <c r="D193" s="16"/>
      <c r="E193" s="16"/>
      <c r="F193" s="16"/>
      <c r="G193" s="15"/>
      <c r="H193" s="15"/>
      <c r="I193" s="15"/>
      <c r="J193" s="15"/>
      <c r="K193" s="17" t="str">
        <f aca="false">IF(G193&gt;0,H193/G193,"")</f>
        <v/>
      </c>
      <c r="L193" s="31" t="str">
        <f aca="false">IF(AND(G193&gt;0,G193&gt;=$R$2),K193+ROW()/1000000000,"")</f>
        <v/>
      </c>
    </row>
    <row r="194" customFormat="false" ht="15" hidden="false" customHeight="false" outlineLevel="0" collapsed="false">
      <c r="A194" s="14"/>
      <c r="B194" s="16"/>
      <c r="C194" s="16"/>
      <c r="D194" s="16"/>
      <c r="E194" s="16"/>
      <c r="F194" s="16"/>
      <c r="G194" s="15"/>
      <c r="H194" s="15"/>
      <c r="I194" s="15"/>
      <c r="J194" s="15"/>
      <c r="K194" s="17" t="str">
        <f aca="false">IF(G194&gt;0,H194/G194,"")</f>
        <v/>
      </c>
      <c r="L194" s="31" t="str">
        <f aca="false">IF(AND(G194&gt;0,G194&gt;=$R$2),K194+ROW()/1000000000,"")</f>
        <v/>
      </c>
    </row>
    <row r="195" customFormat="false" ht="15" hidden="false" customHeight="false" outlineLevel="0" collapsed="false">
      <c r="A195" s="14"/>
      <c r="B195" s="16"/>
      <c r="C195" s="16"/>
      <c r="D195" s="16"/>
      <c r="E195" s="16"/>
      <c r="F195" s="16"/>
      <c r="G195" s="15"/>
      <c r="H195" s="15"/>
      <c r="I195" s="15"/>
      <c r="J195" s="15"/>
      <c r="K195" s="17" t="str">
        <f aca="false">IF(G195&gt;0,H195/G195,"")</f>
        <v/>
      </c>
      <c r="L195" s="31" t="str">
        <f aca="false">IF(AND(G195&gt;0,G195&gt;=$R$2),K195+ROW()/1000000000,"")</f>
        <v/>
      </c>
    </row>
    <row r="196" customFormat="false" ht="15" hidden="false" customHeight="false" outlineLevel="0" collapsed="false">
      <c r="A196" s="14"/>
      <c r="B196" s="16"/>
      <c r="C196" s="16"/>
      <c r="D196" s="16"/>
      <c r="E196" s="16"/>
      <c r="F196" s="16"/>
      <c r="G196" s="15"/>
      <c r="H196" s="15"/>
      <c r="I196" s="15"/>
      <c r="J196" s="15"/>
      <c r="K196" s="17" t="str">
        <f aca="false">IF(G196&gt;0,H196/G196,"")</f>
        <v/>
      </c>
      <c r="L196" s="31" t="str">
        <f aca="false">IF(AND(G196&gt;0,G196&gt;=$R$2),K196+ROW()/1000000000,"")</f>
        <v/>
      </c>
    </row>
    <row r="197" customFormat="false" ht="15" hidden="false" customHeight="false" outlineLevel="0" collapsed="false">
      <c r="A197" s="14"/>
      <c r="B197" s="16"/>
      <c r="C197" s="16"/>
      <c r="D197" s="16"/>
      <c r="E197" s="16"/>
      <c r="F197" s="16"/>
      <c r="G197" s="15"/>
      <c r="H197" s="15"/>
      <c r="I197" s="15"/>
      <c r="J197" s="15"/>
      <c r="K197" s="17" t="str">
        <f aca="false">IF(G197&gt;0,H197/G197,"")</f>
        <v/>
      </c>
      <c r="L197" s="31" t="str">
        <f aca="false">IF(AND(G197&gt;0,G197&gt;=$R$2),K197+ROW()/1000000000,"")</f>
        <v/>
      </c>
    </row>
    <row r="198" customFormat="false" ht="15" hidden="false" customHeight="false" outlineLevel="0" collapsed="false">
      <c r="A198" s="14"/>
      <c r="B198" s="16"/>
      <c r="C198" s="16"/>
      <c r="D198" s="16"/>
      <c r="E198" s="16"/>
      <c r="F198" s="16"/>
      <c r="G198" s="15"/>
      <c r="H198" s="15"/>
      <c r="I198" s="15"/>
      <c r="J198" s="15"/>
      <c r="K198" s="17" t="str">
        <f aca="false">IF(G198&gt;0,H198/G198,"")</f>
        <v/>
      </c>
      <c r="L198" s="31" t="str">
        <f aca="false">IF(AND(G198&gt;0,G198&gt;=$R$2),K198+ROW()/1000000000,"")</f>
        <v/>
      </c>
    </row>
    <row r="199" customFormat="false" ht="15" hidden="false" customHeight="false" outlineLevel="0" collapsed="false">
      <c r="A199" s="14"/>
      <c r="B199" s="16"/>
      <c r="C199" s="16"/>
      <c r="D199" s="16"/>
      <c r="E199" s="16"/>
      <c r="F199" s="16"/>
      <c r="G199" s="15"/>
      <c r="H199" s="15"/>
      <c r="I199" s="15"/>
      <c r="J199" s="15"/>
      <c r="K199" s="17" t="str">
        <f aca="false">IF(G199&gt;0,H199/G199,"")</f>
        <v/>
      </c>
      <c r="L199" s="31" t="str">
        <f aca="false">IF(AND(G199&gt;0,G199&gt;=$R$2),K199+ROW()/1000000000,"")</f>
        <v/>
      </c>
    </row>
    <row r="200" customFormat="false" ht="15" hidden="false" customHeight="false" outlineLevel="0" collapsed="false">
      <c r="A200" s="14"/>
      <c r="B200" s="16"/>
      <c r="C200" s="16"/>
      <c r="D200" s="16"/>
      <c r="E200" s="16"/>
      <c r="F200" s="16"/>
      <c r="G200" s="15"/>
      <c r="H200" s="15"/>
      <c r="I200" s="15"/>
      <c r="J200" s="15"/>
      <c r="K200" s="17" t="str">
        <f aca="false">IF(G200&gt;0,H200/G200,"")</f>
        <v/>
      </c>
      <c r="L200" s="31" t="str">
        <f aca="false">IF(AND(G200&gt;0,G200&gt;=$R$2),K200+ROW()/1000000000,"")</f>
        <v/>
      </c>
    </row>
    <row r="201" customFormat="false" ht="15" hidden="false" customHeight="false" outlineLevel="0" collapsed="false">
      <c r="A201" s="14"/>
      <c r="B201" s="16"/>
      <c r="C201" s="16"/>
      <c r="D201" s="16"/>
      <c r="E201" s="16"/>
      <c r="F201" s="16"/>
      <c r="G201" s="15"/>
      <c r="H201" s="15"/>
      <c r="I201" s="15"/>
      <c r="J201" s="15"/>
      <c r="K201" s="17" t="str">
        <f aca="false">IF(G201&gt;0,H201/G201,"")</f>
        <v/>
      </c>
      <c r="L201" s="31" t="str">
        <f aca="false">IF(AND(G201&gt;0,G201&gt;=$R$2),K201+ROW()/1000000000,"")</f>
        <v/>
      </c>
    </row>
    <row r="202" customFormat="false" ht="15" hidden="false" customHeight="false" outlineLevel="0" collapsed="false">
      <c r="A202" s="14"/>
      <c r="B202" s="16"/>
      <c r="C202" s="16"/>
      <c r="D202" s="16"/>
      <c r="E202" s="16"/>
      <c r="F202" s="16"/>
      <c r="G202" s="15"/>
      <c r="H202" s="15"/>
      <c r="I202" s="15"/>
      <c r="J202" s="15"/>
      <c r="K202" s="17" t="str">
        <f aca="false">IF(G202&gt;0,H202/G202,"")</f>
        <v/>
      </c>
      <c r="L202" s="31" t="str">
        <f aca="false">IF(AND(G202&gt;0,G202&gt;=$R$2),K202+ROW()/1000000000,"")</f>
        <v/>
      </c>
    </row>
    <row r="203" customFormat="false" ht="15" hidden="false" customHeight="false" outlineLevel="0" collapsed="false">
      <c r="A203" s="14"/>
      <c r="B203" s="16"/>
      <c r="C203" s="16"/>
      <c r="D203" s="16"/>
      <c r="E203" s="16"/>
      <c r="F203" s="16"/>
      <c r="G203" s="15"/>
      <c r="H203" s="15"/>
      <c r="I203" s="15"/>
      <c r="J203" s="15"/>
      <c r="K203" s="17" t="str">
        <f aca="false">IF(G203&gt;0,H203/G203,"")</f>
        <v/>
      </c>
      <c r="L203" s="31" t="str">
        <f aca="false">IF(AND(G203&gt;0,G203&gt;=$R$2),K203+ROW()/1000000000,"")</f>
        <v/>
      </c>
    </row>
    <row r="204" customFormat="false" ht="15" hidden="false" customHeight="false" outlineLevel="0" collapsed="false">
      <c r="A204" s="14"/>
      <c r="B204" s="16"/>
      <c r="C204" s="16"/>
      <c r="D204" s="16"/>
      <c r="E204" s="16"/>
      <c r="F204" s="16"/>
      <c r="G204" s="15"/>
      <c r="H204" s="15"/>
      <c r="I204" s="15"/>
      <c r="J204" s="15"/>
      <c r="K204" s="17" t="str">
        <f aca="false">IF(G204&gt;0,H204/G204,"")</f>
        <v/>
      </c>
      <c r="L204" s="31" t="str">
        <f aca="false">IF(AND(G204&gt;0,G204&gt;=$R$2),K204+ROW()/1000000000,"")</f>
        <v/>
      </c>
    </row>
  </sheetData>
  <dataValidations count="3">
    <dataValidation allowBlank="true" errorStyle="stop" operator="between" showDropDown="false" showErrorMessage="false" showInputMessage="false" sqref="B5:B204" type="list">
      <formula1>"Facebook,Instagram,X,LinkedIn,YouTube"</formula1>
      <formula2>0</formula2>
    </dataValidation>
    <dataValidation allowBlank="true" errorStyle="stop" operator="between" showDropDown="false" showErrorMessage="false" showInputMessage="false" sqref="C5:C204" type="list">
      <formula1>"Coaches/tutors,Salons/studios,Event hosts,Photographers,Agencies,General"</formula1>
      <formula2>0</formula2>
    </dataValidation>
    <dataValidation allowBlank="true" errorStyle="stop" operator="between" showDropDown="false" showErrorMessage="false" showInputMessage="false" sqref="D5:D204" type="list">
      <formula1>"Reel / short video,Carousel,Single image,Text post,Thread,Poll,Long video"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3"/>
    <col collapsed="false" customWidth="true" hidden="false" outlineLevel="0" max="9" min="9" style="0" width="30"/>
    <col collapsed="false" customWidth="true" hidden="false" outlineLevel="0" max="10" min="10" style="0" width="10"/>
  </cols>
  <sheetData>
    <row r="1" customFormat="false" ht="17.3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7" t="s">
        <v>101</v>
      </c>
      <c r="I2" s="23" t="s">
        <v>102</v>
      </c>
    </row>
    <row r="3" customFormat="false" ht="31.5" hidden="false" customHeight="true" outlineLevel="0" collapsed="false">
      <c r="A3" s="8" t="s">
        <v>103</v>
      </c>
      <c r="B3" s="8" t="s">
        <v>52</v>
      </c>
      <c r="C3" s="8" t="s">
        <v>64</v>
      </c>
      <c r="D3" s="8" t="s">
        <v>81</v>
      </c>
      <c r="E3" s="8" t="s">
        <v>104</v>
      </c>
      <c r="F3" s="8" t="s">
        <v>105</v>
      </c>
      <c r="G3" s="8" t="s">
        <v>106</v>
      </c>
      <c r="I3" s="8" t="s">
        <v>104</v>
      </c>
      <c r="J3" s="8" t="s">
        <v>107</v>
      </c>
    </row>
    <row r="4" customFormat="false" ht="15" hidden="false" customHeight="false" outlineLevel="0" collapsed="false">
      <c r="A4" s="11" t="s">
        <v>108</v>
      </c>
      <c r="B4" s="11" t="s">
        <v>21</v>
      </c>
      <c r="C4" s="11" t="s">
        <v>69</v>
      </c>
      <c r="D4" s="11" t="s">
        <v>89</v>
      </c>
      <c r="E4" s="11" t="s">
        <v>109</v>
      </c>
      <c r="F4" s="9" t="n">
        <v>46329</v>
      </c>
      <c r="G4" s="11" t="s">
        <v>110</v>
      </c>
      <c r="I4" s="24" t="s">
        <v>111</v>
      </c>
      <c r="J4" s="25" t="n">
        <f aca="false">COUNTIF($E$5:$E$154,$I4)</f>
        <v>12</v>
      </c>
    </row>
    <row r="5" customFormat="false" ht="15" hidden="false" customHeight="false" outlineLevel="0" collapsed="false">
      <c r="A5" s="32" t="s">
        <v>112</v>
      </c>
      <c r="B5" s="16" t="s">
        <v>23</v>
      </c>
      <c r="C5" s="16" t="s">
        <v>113</v>
      </c>
      <c r="D5" s="16" t="s">
        <v>96</v>
      </c>
      <c r="E5" s="16" t="s">
        <v>111</v>
      </c>
      <c r="F5" s="14"/>
      <c r="G5" s="16" t="s">
        <v>114</v>
      </c>
      <c r="I5" s="24" t="s">
        <v>109</v>
      </c>
      <c r="J5" s="25" t="n">
        <f aca="false">COUNTIF($E$5:$E$154,$I5)</f>
        <v>0</v>
      </c>
    </row>
    <row r="6" customFormat="false" ht="15" hidden="false" customHeight="false" outlineLevel="0" collapsed="false">
      <c r="A6" s="32" t="s">
        <v>115</v>
      </c>
      <c r="B6" s="16" t="s">
        <v>25</v>
      </c>
      <c r="C6" s="16" t="s">
        <v>113</v>
      </c>
      <c r="D6" s="16" t="s">
        <v>95</v>
      </c>
      <c r="E6" s="16" t="s">
        <v>111</v>
      </c>
      <c r="F6" s="14"/>
      <c r="G6" s="16" t="s">
        <v>114</v>
      </c>
      <c r="I6" s="24" t="s">
        <v>116</v>
      </c>
      <c r="J6" s="25" t="n">
        <f aca="false">COUNTIF($E$5:$E$154,$I6)</f>
        <v>0</v>
      </c>
    </row>
    <row r="7" customFormat="false" ht="15" hidden="false" customHeight="false" outlineLevel="0" collapsed="false">
      <c r="A7" s="32" t="s">
        <v>90</v>
      </c>
      <c r="B7" s="16" t="s">
        <v>21</v>
      </c>
      <c r="C7" s="16" t="s">
        <v>69</v>
      </c>
      <c r="D7" s="16" t="s">
        <v>89</v>
      </c>
      <c r="E7" s="16" t="s">
        <v>111</v>
      </c>
      <c r="F7" s="14"/>
      <c r="G7" s="16" t="s">
        <v>114</v>
      </c>
      <c r="I7" s="24" t="s">
        <v>88</v>
      </c>
      <c r="J7" s="25" t="n">
        <f aca="false">COUNTIF($E$5:$E$154,$I7)</f>
        <v>0</v>
      </c>
    </row>
    <row r="8" customFormat="false" ht="15" hidden="false" customHeight="false" outlineLevel="0" collapsed="false">
      <c r="A8" s="32" t="s">
        <v>117</v>
      </c>
      <c r="B8" s="16" t="s">
        <v>21</v>
      </c>
      <c r="C8" s="16" t="s">
        <v>70</v>
      </c>
      <c r="D8" s="16" t="s">
        <v>89</v>
      </c>
      <c r="E8" s="16" t="s">
        <v>111</v>
      </c>
      <c r="F8" s="14"/>
      <c r="G8" s="16" t="s">
        <v>114</v>
      </c>
      <c r="I8" s="24" t="s">
        <v>118</v>
      </c>
      <c r="J8" s="25" t="n">
        <f aca="false">COUNTIF($E$5:$E$154,$I8)</f>
        <v>0</v>
      </c>
    </row>
    <row r="9" customFormat="false" ht="15" hidden="false" customHeight="false" outlineLevel="0" collapsed="false">
      <c r="A9" s="32" t="s">
        <v>119</v>
      </c>
      <c r="B9" s="16" t="s">
        <v>19</v>
      </c>
      <c r="C9" s="16" t="s">
        <v>69</v>
      </c>
      <c r="D9" s="16" t="s">
        <v>94</v>
      </c>
      <c r="E9" s="16" t="s">
        <v>111</v>
      </c>
      <c r="F9" s="14"/>
      <c r="G9" s="16" t="s">
        <v>114</v>
      </c>
      <c r="I9" s="19" t="s">
        <v>60</v>
      </c>
      <c r="J9" s="20" t="n">
        <f aca="false">SUM(J4:J8)</f>
        <v>12</v>
      </c>
    </row>
    <row r="10" customFormat="false" ht="39.75" hidden="false" customHeight="true" outlineLevel="0" collapsed="false">
      <c r="A10" s="32" t="s">
        <v>120</v>
      </c>
      <c r="B10" s="16" t="s">
        <v>21</v>
      </c>
      <c r="C10" s="16" t="s">
        <v>113</v>
      </c>
      <c r="D10" s="16" t="s">
        <v>93</v>
      </c>
      <c r="E10" s="16" t="s">
        <v>111</v>
      </c>
      <c r="F10" s="14"/>
      <c r="G10" s="16" t="s">
        <v>114</v>
      </c>
      <c r="I10" s="33" t="s">
        <v>121</v>
      </c>
      <c r="J10" s="25" t="n">
        <f aca="true">SUMPRODUCT(($F$5:$F$154&lt;&gt;"")*($F$5:$F$154&lt;TODAY())*($E$5:$E$154&lt;&gt;"Posted")*($E$5:$E$154&lt;&gt;"Skipped"))</f>
        <v>0</v>
      </c>
    </row>
    <row r="11" customFormat="false" ht="15" hidden="false" customHeight="false" outlineLevel="0" collapsed="false">
      <c r="A11" s="32" t="s">
        <v>122</v>
      </c>
      <c r="B11" s="16" t="s">
        <v>19</v>
      </c>
      <c r="C11" s="16" t="s">
        <v>71</v>
      </c>
      <c r="D11" s="16" t="s">
        <v>94</v>
      </c>
      <c r="E11" s="16" t="s">
        <v>111</v>
      </c>
      <c r="F11" s="14"/>
      <c r="G11" s="16" t="s">
        <v>114</v>
      </c>
    </row>
    <row r="12" customFormat="false" ht="15" hidden="false" customHeight="false" outlineLevel="0" collapsed="false">
      <c r="A12" s="32" t="s">
        <v>123</v>
      </c>
      <c r="B12" s="16" t="s">
        <v>27</v>
      </c>
      <c r="C12" s="16" t="s">
        <v>73</v>
      </c>
      <c r="D12" s="16" t="s">
        <v>98</v>
      </c>
      <c r="E12" s="16" t="s">
        <v>111</v>
      </c>
      <c r="F12" s="14"/>
      <c r="G12" s="16" t="s">
        <v>114</v>
      </c>
      <c r="I12" s="7" t="s">
        <v>124</v>
      </c>
    </row>
    <row r="13" customFormat="false" ht="23.85" hidden="false" customHeight="false" outlineLevel="0" collapsed="false">
      <c r="A13" s="32" t="s">
        <v>125</v>
      </c>
      <c r="B13" s="16" t="s">
        <v>21</v>
      </c>
      <c r="C13" s="16" t="s">
        <v>113</v>
      </c>
      <c r="D13" s="16" t="s">
        <v>89</v>
      </c>
      <c r="E13" s="16" t="s">
        <v>111</v>
      </c>
      <c r="F13" s="14"/>
      <c r="G13" s="16" t="s">
        <v>114</v>
      </c>
    </row>
    <row r="14" customFormat="false" ht="23.85" hidden="false" customHeight="false" outlineLevel="0" collapsed="false">
      <c r="A14" s="32" t="s">
        <v>126</v>
      </c>
      <c r="B14" s="16" t="s">
        <v>19</v>
      </c>
      <c r="C14" s="16" t="s">
        <v>113</v>
      </c>
      <c r="D14" s="16" t="s">
        <v>94</v>
      </c>
      <c r="E14" s="16" t="s">
        <v>111</v>
      </c>
      <c r="F14" s="14"/>
      <c r="G14" s="16" t="s">
        <v>114</v>
      </c>
    </row>
    <row r="15" customFormat="false" ht="23.85" hidden="false" customHeight="false" outlineLevel="0" collapsed="false">
      <c r="A15" s="32" t="s">
        <v>127</v>
      </c>
      <c r="B15" s="16" t="s">
        <v>23</v>
      </c>
      <c r="C15" s="16" t="s">
        <v>113</v>
      </c>
      <c r="D15" s="16" t="s">
        <v>96</v>
      </c>
      <c r="E15" s="16" t="s">
        <v>111</v>
      </c>
      <c r="F15" s="14"/>
      <c r="G15" s="16" t="s">
        <v>114</v>
      </c>
    </row>
    <row r="16" customFormat="false" ht="15" hidden="false" customHeight="false" outlineLevel="0" collapsed="false">
      <c r="A16" s="32" t="s">
        <v>128</v>
      </c>
      <c r="B16" s="16" t="s">
        <v>25</v>
      </c>
      <c r="C16" s="16" t="s">
        <v>73</v>
      </c>
      <c r="D16" s="16" t="s">
        <v>95</v>
      </c>
      <c r="E16" s="16" t="s">
        <v>111</v>
      </c>
      <c r="F16" s="14"/>
      <c r="G16" s="16" t="s">
        <v>114</v>
      </c>
    </row>
    <row r="17" customFormat="false" ht="15" hidden="false" customHeight="false" outlineLevel="0" collapsed="false">
      <c r="A17" s="32"/>
      <c r="B17" s="16"/>
      <c r="C17" s="16"/>
      <c r="D17" s="16"/>
      <c r="E17" s="16"/>
      <c r="F17" s="14"/>
      <c r="G17" s="16"/>
    </row>
    <row r="18" customFormat="false" ht="15" hidden="false" customHeight="false" outlineLevel="0" collapsed="false">
      <c r="A18" s="32"/>
      <c r="B18" s="16"/>
      <c r="C18" s="16"/>
      <c r="D18" s="16"/>
      <c r="E18" s="16"/>
      <c r="F18" s="14"/>
      <c r="G18" s="16"/>
    </row>
    <row r="19" customFormat="false" ht="15" hidden="false" customHeight="false" outlineLevel="0" collapsed="false">
      <c r="A19" s="32"/>
      <c r="B19" s="16"/>
      <c r="C19" s="16"/>
      <c r="D19" s="16"/>
      <c r="E19" s="16"/>
      <c r="F19" s="14"/>
      <c r="G19" s="16"/>
    </row>
    <row r="20" customFormat="false" ht="15" hidden="false" customHeight="false" outlineLevel="0" collapsed="false">
      <c r="A20" s="32"/>
      <c r="B20" s="16"/>
      <c r="C20" s="16"/>
      <c r="D20" s="16"/>
      <c r="E20" s="16"/>
      <c r="F20" s="14"/>
      <c r="G20" s="16"/>
    </row>
    <row r="21" customFormat="false" ht="15" hidden="false" customHeight="false" outlineLevel="0" collapsed="false">
      <c r="A21" s="32"/>
      <c r="B21" s="16"/>
      <c r="C21" s="16"/>
      <c r="D21" s="16"/>
      <c r="E21" s="16"/>
      <c r="F21" s="14"/>
      <c r="G21" s="16"/>
    </row>
    <row r="22" customFormat="false" ht="15" hidden="false" customHeight="false" outlineLevel="0" collapsed="false">
      <c r="A22" s="32"/>
      <c r="B22" s="16"/>
      <c r="C22" s="16"/>
      <c r="D22" s="16"/>
      <c r="E22" s="16"/>
      <c r="F22" s="14"/>
      <c r="G22" s="16"/>
    </row>
    <row r="23" customFormat="false" ht="15" hidden="false" customHeight="false" outlineLevel="0" collapsed="false">
      <c r="A23" s="32"/>
      <c r="B23" s="16"/>
      <c r="C23" s="16"/>
      <c r="D23" s="16"/>
      <c r="E23" s="16"/>
      <c r="F23" s="14"/>
      <c r="G23" s="16"/>
    </row>
    <row r="24" customFormat="false" ht="15" hidden="false" customHeight="false" outlineLevel="0" collapsed="false">
      <c r="A24" s="32"/>
      <c r="B24" s="16"/>
      <c r="C24" s="16"/>
      <c r="D24" s="16"/>
      <c r="E24" s="16"/>
      <c r="F24" s="14"/>
      <c r="G24" s="16"/>
    </row>
    <row r="25" customFormat="false" ht="15" hidden="false" customHeight="false" outlineLevel="0" collapsed="false">
      <c r="A25" s="32"/>
      <c r="B25" s="16"/>
      <c r="C25" s="16"/>
      <c r="D25" s="16"/>
      <c r="E25" s="16"/>
      <c r="F25" s="14"/>
      <c r="G25" s="16"/>
    </row>
    <row r="26" customFormat="false" ht="15" hidden="false" customHeight="false" outlineLevel="0" collapsed="false">
      <c r="A26" s="32"/>
      <c r="B26" s="16"/>
      <c r="C26" s="16"/>
      <c r="D26" s="16"/>
      <c r="E26" s="16"/>
      <c r="F26" s="14"/>
      <c r="G26" s="16"/>
    </row>
    <row r="27" customFormat="false" ht="15" hidden="false" customHeight="false" outlineLevel="0" collapsed="false">
      <c r="A27" s="32"/>
      <c r="B27" s="16"/>
      <c r="C27" s="16"/>
      <c r="D27" s="16"/>
      <c r="E27" s="16"/>
      <c r="F27" s="14"/>
      <c r="G27" s="16"/>
    </row>
    <row r="28" customFormat="false" ht="15" hidden="false" customHeight="false" outlineLevel="0" collapsed="false">
      <c r="A28" s="32"/>
      <c r="B28" s="16"/>
      <c r="C28" s="16"/>
      <c r="D28" s="16"/>
      <c r="E28" s="16"/>
      <c r="F28" s="14"/>
      <c r="G28" s="16"/>
    </row>
    <row r="29" customFormat="false" ht="15" hidden="false" customHeight="false" outlineLevel="0" collapsed="false">
      <c r="A29" s="32"/>
      <c r="B29" s="16"/>
      <c r="C29" s="16"/>
      <c r="D29" s="16"/>
      <c r="E29" s="16"/>
      <c r="F29" s="14"/>
      <c r="G29" s="16"/>
    </row>
    <row r="30" customFormat="false" ht="15" hidden="false" customHeight="false" outlineLevel="0" collapsed="false">
      <c r="A30" s="32"/>
      <c r="B30" s="16"/>
      <c r="C30" s="16"/>
      <c r="D30" s="16"/>
      <c r="E30" s="16"/>
      <c r="F30" s="14"/>
      <c r="G30" s="16"/>
    </row>
    <row r="31" customFormat="false" ht="15" hidden="false" customHeight="false" outlineLevel="0" collapsed="false">
      <c r="A31" s="32"/>
      <c r="B31" s="16"/>
      <c r="C31" s="16"/>
      <c r="D31" s="16"/>
      <c r="E31" s="16"/>
      <c r="F31" s="14"/>
      <c r="G31" s="16"/>
    </row>
    <row r="32" customFormat="false" ht="15" hidden="false" customHeight="false" outlineLevel="0" collapsed="false">
      <c r="A32" s="32"/>
      <c r="B32" s="16"/>
      <c r="C32" s="16"/>
      <c r="D32" s="16"/>
      <c r="E32" s="16"/>
      <c r="F32" s="14"/>
      <c r="G32" s="16"/>
    </row>
    <row r="33" customFormat="false" ht="15" hidden="false" customHeight="false" outlineLevel="0" collapsed="false">
      <c r="A33" s="32"/>
      <c r="B33" s="16"/>
      <c r="C33" s="16"/>
      <c r="D33" s="16"/>
      <c r="E33" s="16"/>
      <c r="F33" s="14"/>
      <c r="G33" s="16"/>
    </row>
    <row r="34" customFormat="false" ht="15" hidden="false" customHeight="false" outlineLevel="0" collapsed="false">
      <c r="A34" s="32"/>
      <c r="B34" s="16"/>
      <c r="C34" s="16"/>
      <c r="D34" s="16"/>
      <c r="E34" s="16"/>
      <c r="F34" s="14"/>
      <c r="G34" s="16"/>
    </row>
    <row r="35" customFormat="false" ht="15" hidden="false" customHeight="false" outlineLevel="0" collapsed="false">
      <c r="A35" s="32"/>
      <c r="B35" s="16"/>
      <c r="C35" s="16"/>
      <c r="D35" s="16"/>
      <c r="E35" s="16"/>
      <c r="F35" s="14"/>
      <c r="G35" s="16"/>
    </row>
    <row r="36" customFormat="false" ht="15" hidden="false" customHeight="false" outlineLevel="0" collapsed="false">
      <c r="A36" s="32"/>
      <c r="B36" s="16"/>
      <c r="C36" s="16"/>
      <c r="D36" s="16"/>
      <c r="E36" s="16"/>
      <c r="F36" s="14"/>
      <c r="G36" s="16"/>
    </row>
    <row r="37" customFormat="false" ht="15" hidden="false" customHeight="false" outlineLevel="0" collapsed="false">
      <c r="A37" s="32"/>
      <c r="B37" s="16"/>
      <c r="C37" s="16"/>
      <c r="D37" s="16"/>
      <c r="E37" s="16"/>
      <c r="F37" s="14"/>
      <c r="G37" s="16"/>
    </row>
    <row r="38" customFormat="false" ht="15" hidden="false" customHeight="false" outlineLevel="0" collapsed="false">
      <c r="A38" s="32"/>
      <c r="B38" s="16"/>
      <c r="C38" s="16"/>
      <c r="D38" s="16"/>
      <c r="E38" s="16"/>
      <c r="F38" s="14"/>
      <c r="G38" s="16"/>
    </row>
    <row r="39" customFormat="false" ht="15" hidden="false" customHeight="false" outlineLevel="0" collapsed="false">
      <c r="A39" s="32"/>
      <c r="B39" s="16"/>
      <c r="C39" s="16"/>
      <c r="D39" s="16"/>
      <c r="E39" s="16"/>
      <c r="F39" s="14"/>
      <c r="G39" s="16"/>
    </row>
    <row r="40" customFormat="false" ht="15" hidden="false" customHeight="false" outlineLevel="0" collapsed="false">
      <c r="A40" s="32"/>
      <c r="B40" s="16"/>
      <c r="C40" s="16"/>
      <c r="D40" s="16"/>
      <c r="E40" s="16"/>
      <c r="F40" s="14"/>
      <c r="G40" s="16"/>
    </row>
    <row r="41" customFormat="false" ht="15" hidden="false" customHeight="false" outlineLevel="0" collapsed="false">
      <c r="A41" s="32"/>
      <c r="B41" s="16"/>
      <c r="C41" s="16"/>
      <c r="D41" s="16"/>
      <c r="E41" s="16"/>
      <c r="F41" s="14"/>
      <c r="G41" s="16"/>
    </row>
    <row r="42" customFormat="false" ht="15" hidden="false" customHeight="false" outlineLevel="0" collapsed="false">
      <c r="A42" s="32"/>
      <c r="B42" s="16"/>
      <c r="C42" s="16"/>
      <c r="D42" s="16"/>
      <c r="E42" s="16"/>
      <c r="F42" s="14"/>
      <c r="G42" s="16"/>
    </row>
    <row r="43" customFormat="false" ht="15" hidden="false" customHeight="false" outlineLevel="0" collapsed="false">
      <c r="A43" s="32"/>
      <c r="B43" s="16"/>
      <c r="C43" s="16"/>
      <c r="D43" s="16"/>
      <c r="E43" s="16"/>
      <c r="F43" s="14"/>
      <c r="G43" s="16"/>
    </row>
    <row r="44" customFormat="false" ht="15" hidden="false" customHeight="false" outlineLevel="0" collapsed="false">
      <c r="A44" s="32"/>
      <c r="B44" s="16"/>
      <c r="C44" s="16"/>
      <c r="D44" s="16"/>
      <c r="E44" s="16"/>
      <c r="F44" s="14"/>
      <c r="G44" s="16"/>
    </row>
    <row r="45" customFormat="false" ht="15" hidden="false" customHeight="false" outlineLevel="0" collapsed="false">
      <c r="A45" s="32"/>
      <c r="B45" s="16"/>
      <c r="C45" s="16"/>
      <c r="D45" s="16"/>
      <c r="E45" s="16"/>
      <c r="F45" s="14"/>
      <c r="G45" s="16"/>
    </row>
    <row r="46" customFormat="false" ht="15" hidden="false" customHeight="false" outlineLevel="0" collapsed="false">
      <c r="A46" s="32"/>
      <c r="B46" s="16"/>
      <c r="C46" s="16"/>
      <c r="D46" s="16"/>
      <c r="E46" s="16"/>
      <c r="F46" s="14"/>
      <c r="G46" s="16"/>
    </row>
    <row r="47" customFormat="false" ht="15" hidden="false" customHeight="false" outlineLevel="0" collapsed="false">
      <c r="A47" s="32"/>
      <c r="B47" s="16"/>
      <c r="C47" s="16"/>
      <c r="D47" s="16"/>
      <c r="E47" s="16"/>
      <c r="F47" s="14"/>
      <c r="G47" s="16"/>
    </row>
    <row r="48" customFormat="false" ht="15" hidden="false" customHeight="false" outlineLevel="0" collapsed="false">
      <c r="A48" s="32"/>
      <c r="B48" s="16"/>
      <c r="C48" s="16"/>
      <c r="D48" s="16"/>
      <c r="E48" s="16"/>
      <c r="F48" s="14"/>
      <c r="G48" s="16"/>
    </row>
    <row r="49" customFormat="false" ht="15" hidden="false" customHeight="false" outlineLevel="0" collapsed="false">
      <c r="A49" s="32"/>
      <c r="B49" s="16"/>
      <c r="C49" s="16"/>
      <c r="D49" s="16"/>
      <c r="E49" s="16"/>
      <c r="F49" s="14"/>
      <c r="G49" s="16"/>
    </row>
    <row r="50" customFormat="false" ht="15" hidden="false" customHeight="false" outlineLevel="0" collapsed="false">
      <c r="A50" s="32"/>
      <c r="B50" s="16"/>
      <c r="C50" s="16"/>
      <c r="D50" s="16"/>
      <c r="E50" s="16"/>
      <c r="F50" s="14"/>
      <c r="G50" s="16"/>
    </row>
    <row r="51" customFormat="false" ht="15" hidden="false" customHeight="false" outlineLevel="0" collapsed="false">
      <c r="A51" s="32"/>
      <c r="B51" s="16"/>
      <c r="C51" s="16"/>
      <c r="D51" s="16"/>
      <c r="E51" s="16"/>
      <c r="F51" s="14"/>
      <c r="G51" s="16"/>
    </row>
    <row r="52" customFormat="false" ht="15" hidden="false" customHeight="false" outlineLevel="0" collapsed="false">
      <c r="A52" s="32"/>
      <c r="B52" s="16"/>
      <c r="C52" s="16"/>
      <c r="D52" s="16"/>
      <c r="E52" s="16"/>
      <c r="F52" s="14"/>
      <c r="G52" s="16"/>
    </row>
    <row r="53" customFormat="false" ht="15" hidden="false" customHeight="false" outlineLevel="0" collapsed="false">
      <c r="A53" s="32"/>
      <c r="B53" s="16"/>
      <c r="C53" s="16"/>
      <c r="D53" s="16"/>
      <c r="E53" s="16"/>
      <c r="F53" s="14"/>
      <c r="G53" s="16"/>
    </row>
    <row r="54" customFormat="false" ht="15" hidden="false" customHeight="false" outlineLevel="0" collapsed="false">
      <c r="A54" s="32"/>
      <c r="B54" s="16"/>
      <c r="C54" s="16"/>
      <c r="D54" s="16"/>
      <c r="E54" s="16"/>
      <c r="F54" s="14"/>
      <c r="G54" s="16"/>
    </row>
    <row r="55" customFormat="false" ht="15" hidden="false" customHeight="false" outlineLevel="0" collapsed="false">
      <c r="A55" s="32"/>
      <c r="B55" s="16"/>
      <c r="C55" s="16"/>
      <c r="D55" s="16"/>
      <c r="E55" s="16"/>
      <c r="F55" s="14"/>
      <c r="G55" s="16"/>
    </row>
    <row r="56" customFormat="false" ht="15" hidden="false" customHeight="false" outlineLevel="0" collapsed="false">
      <c r="A56" s="32"/>
      <c r="B56" s="16"/>
      <c r="C56" s="16"/>
      <c r="D56" s="16"/>
      <c r="E56" s="16"/>
      <c r="F56" s="14"/>
      <c r="G56" s="16"/>
    </row>
    <row r="57" customFormat="false" ht="15" hidden="false" customHeight="false" outlineLevel="0" collapsed="false">
      <c r="A57" s="32"/>
      <c r="B57" s="16"/>
      <c r="C57" s="16"/>
      <c r="D57" s="16"/>
      <c r="E57" s="16"/>
      <c r="F57" s="14"/>
      <c r="G57" s="16"/>
    </row>
    <row r="58" customFormat="false" ht="15" hidden="false" customHeight="false" outlineLevel="0" collapsed="false">
      <c r="A58" s="32"/>
      <c r="B58" s="16"/>
      <c r="C58" s="16"/>
      <c r="D58" s="16"/>
      <c r="E58" s="16"/>
      <c r="F58" s="14"/>
      <c r="G58" s="16"/>
    </row>
    <row r="59" customFormat="false" ht="15" hidden="false" customHeight="false" outlineLevel="0" collapsed="false">
      <c r="A59" s="32"/>
      <c r="B59" s="16"/>
      <c r="C59" s="16"/>
      <c r="D59" s="16"/>
      <c r="E59" s="16"/>
      <c r="F59" s="14"/>
      <c r="G59" s="16"/>
    </row>
    <row r="60" customFormat="false" ht="15" hidden="false" customHeight="false" outlineLevel="0" collapsed="false">
      <c r="A60" s="32"/>
      <c r="B60" s="16"/>
      <c r="C60" s="16"/>
      <c r="D60" s="16"/>
      <c r="E60" s="16"/>
      <c r="F60" s="14"/>
      <c r="G60" s="16"/>
    </row>
    <row r="61" customFormat="false" ht="15" hidden="false" customHeight="false" outlineLevel="0" collapsed="false">
      <c r="A61" s="32"/>
      <c r="B61" s="16"/>
      <c r="C61" s="16"/>
      <c r="D61" s="16"/>
      <c r="E61" s="16"/>
      <c r="F61" s="14"/>
      <c r="G61" s="16"/>
    </row>
    <row r="62" customFormat="false" ht="15" hidden="false" customHeight="false" outlineLevel="0" collapsed="false">
      <c r="A62" s="32"/>
      <c r="B62" s="16"/>
      <c r="C62" s="16"/>
      <c r="D62" s="16"/>
      <c r="E62" s="16"/>
      <c r="F62" s="14"/>
      <c r="G62" s="16"/>
    </row>
    <row r="63" customFormat="false" ht="15" hidden="false" customHeight="false" outlineLevel="0" collapsed="false">
      <c r="A63" s="32"/>
      <c r="B63" s="16"/>
      <c r="C63" s="16"/>
      <c r="D63" s="16"/>
      <c r="E63" s="16"/>
      <c r="F63" s="14"/>
      <c r="G63" s="16"/>
    </row>
    <row r="64" customFormat="false" ht="15" hidden="false" customHeight="false" outlineLevel="0" collapsed="false">
      <c r="A64" s="32"/>
      <c r="B64" s="16"/>
      <c r="C64" s="16"/>
      <c r="D64" s="16"/>
      <c r="E64" s="16"/>
      <c r="F64" s="14"/>
      <c r="G64" s="16"/>
    </row>
    <row r="65" customFormat="false" ht="15" hidden="false" customHeight="false" outlineLevel="0" collapsed="false">
      <c r="A65" s="32"/>
      <c r="B65" s="16"/>
      <c r="C65" s="16"/>
      <c r="D65" s="16"/>
      <c r="E65" s="16"/>
      <c r="F65" s="14"/>
      <c r="G65" s="16"/>
    </row>
    <row r="66" customFormat="false" ht="15" hidden="false" customHeight="false" outlineLevel="0" collapsed="false">
      <c r="A66" s="32"/>
      <c r="B66" s="16"/>
      <c r="C66" s="16"/>
      <c r="D66" s="16"/>
      <c r="E66" s="16"/>
      <c r="F66" s="14"/>
      <c r="G66" s="16"/>
    </row>
    <row r="67" customFormat="false" ht="15" hidden="false" customHeight="false" outlineLevel="0" collapsed="false">
      <c r="A67" s="32"/>
      <c r="B67" s="16"/>
      <c r="C67" s="16"/>
      <c r="D67" s="16"/>
      <c r="E67" s="16"/>
      <c r="F67" s="14"/>
      <c r="G67" s="16"/>
    </row>
    <row r="68" customFormat="false" ht="15" hidden="false" customHeight="false" outlineLevel="0" collapsed="false">
      <c r="A68" s="32"/>
      <c r="B68" s="16"/>
      <c r="C68" s="16"/>
      <c r="D68" s="16"/>
      <c r="E68" s="16"/>
      <c r="F68" s="14"/>
      <c r="G68" s="16"/>
    </row>
    <row r="69" customFormat="false" ht="15" hidden="false" customHeight="false" outlineLevel="0" collapsed="false">
      <c r="A69" s="32"/>
      <c r="B69" s="16"/>
      <c r="C69" s="16"/>
      <c r="D69" s="16"/>
      <c r="E69" s="16"/>
      <c r="F69" s="14"/>
      <c r="G69" s="16"/>
    </row>
    <row r="70" customFormat="false" ht="15" hidden="false" customHeight="false" outlineLevel="0" collapsed="false">
      <c r="A70" s="32"/>
      <c r="B70" s="16"/>
      <c r="C70" s="16"/>
      <c r="D70" s="16"/>
      <c r="E70" s="16"/>
      <c r="F70" s="14"/>
      <c r="G70" s="16"/>
    </row>
    <row r="71" customFormat="false" ht="15" hidden="false" customHeight="false" outlineLevel="0" collapsed="false">
      <c r="A71" s="32"/>
      <c r="B71" s="16"/>
      <c r="C71" s="16"/>
      <c r="D71" s="16"/>
      <c r="E71" s="16"/>
      <c r="F71" s="14"/>
      <c r="G71" s="16"/>
    </row>
    <row r="72" customFormat="false" ht="15" hidden="false" customHeight="false" outlineLevel="0" collapsed="false">
      <c r="A72" s="32"/>
      <c r="B72" s="16"/>
      <c r="C72" s="16"/>
      <c r="D72" s="16"/>
      <c r="E72" s="16"/>
      <c r="F72" s="14"/>
      <c r="G72" s="16"/>
    </row>
    <row r="73" customFormat="false" ht="15" hidden="false" customHeight="false" outlineLevel="0" collapsed="false">
      <c r="A73" s="32"/>
      <c r="B73" s="16"/>
      <c r="C73" s="16"/>
      <c r="D73" s="16"/>
      <c r="E73" s="16"/>
      <c r="F73" s="14"/>
      <c r="G73" s="16"/>
    </row>
    <row r="74" customFormat="false" ht="15" hidden="false" customHeight="false" outlineLevel="0" collapsed="false">
      <c r="A74" s="32"/>
      <c r="B74" s="16"/>
      <c r="C74" s="16"/>
      <c r="D74" s="16"/>
      <c r="E74" s="16"/>
      <c r="F74" s="14"/>
      <c r="G74" s="16"/>
    </row>
    <row r="75" customFormat="false" ht="15" hidden="false" customHeight="false" outlineLevel="0" collapsed="false">
      <c r="A75" s="32"/>
      <c r="B75" s="16"/>
      <c r="C75" s="16"/>
      <c r="D75" s="16"/>
      <c r="E75" s="16"/>
      <c r="F75" s="14"/>
      <c r="G75" s="16"/>
    </row>
    <row r="76" customFormat="false" ht="15" hidden="false" customHeight="false" outlineLevel="0" collapsed="false">
      <c r="A76" s="32"/>
      <c r="B76" s="16"/>
      <c r="C76" s="16"/>
      <c r="D76" s="16"/>
      <c r="E76" s="16"/>
      <c r="F76" s="14"/>
      <c r="G76" s="16"/>
    </row>
    <row r="77" customFormat="false" ht="15" hidden="false" customHeight="false" outlineLevel="0" collapsed="false">
      <c r="A77" s="32"/>
      <c r="B77" s="16"/>
      <c r="C77" s="16"/>
      <c r="D77" s="16"/>
      <c r="E77" s="16"/>
      <c r="F77" s="14"/>
      <c r="G77" s="16"/>
    </row>
    <row r="78" customFormat="false" ht="15" hidden="false" customHeight="false" outlineLevel="0" collapsed="false">
      <c r="A78" s="32"/>
      <c r="B78" s="16"/>
      <c r="C78" s="16"/>
      <c r="D78" s="16"/>
      <c r="E78" s="16"/>
      <c r="F78" s="14"/>
      <c r="G78" s="16"/>
    </row>
    <row r="79" customFormat="false" ht="15" hidden="false" customHeight="false" outlineLevel="0" collapsed="false">
      <c r="A79" s="32"/>
      <c r="B79" s="16"/>
      <c r="C79" s="16"/>
      <c r="D79" s="16"/>
      <c r="E79" s="16"/>
      <c r="F79" s="14"/>
      <c r="G79" s="16"/>
    </row>
    <row r="80" customFormat="false" ht="15" hidden="false" customHeight="false" outlineLevel="0" collapsed="false">
      <c r="A80" s="32"/>
      <c r="B80" s="16"/>
      <c r="C80" s="16"/>
      <c r="D80" s="16"/>
      <c r="E80" s="16"/>
      <c r="F80" s="14"/>
      <c r="G80" s="16"/>
    </row>
    <row r="81" customFormat="false" ht="15" hidden="false" customHeight="false" outlineLevel="0" collapsed="false">
      <c r="A81" s="32"/>
      <c r="B81" s="16"/>
      <c r="C81" s="16"/>
      <c r="D81" s="16"/>
      <c r="E81" s="16"/>
      <c r="F81" s="14"/>
      <c r="G81" s="16"/>
    </row>
    <row r="82" customFormat="false" ht="15" hidden="false" customHeight="false" outlineLevel="0" collapsed="false">
      <c r="A82" s="32"/>
      <c r="B82" s="16"/>
      <c r="C82" s="16"/>
      <c r="D82" s="16"/>
      <c r="E82" s="16"/>
      <c r="F82" s="14"/>
      <c r="G82" s="16"/>
    </row>
    <row r="83" customFormat="false" ht="15" hidden="false" customHeight="false" outlineLevel="0" collapsed="false">
      <c r="A83" s="32"/>
      <c r="B83" s="16"/>
      <c r="C83" s="16"/>
      <c r="D83" s="16"/>
      <c r="E83" s="16"/>
      <c r="F83" s="14"/>
      <c r="G83" s="16"/>
    </row>
    <row r="84" customFormat="false" ht="15" hidden="false" customHeight="false" outlineLevel="0" collapsed="false">
      <c r="A84" s="32"/>
      <c r="B84" s="16"/>
      <c r="C84" s="16"/>
      <c r="D84" s="16"/>
      <c r="E84" s="16"/>
      <c r="F84" s="14"/>
      <c r="G84" s="16"/>
    </row>
    <row r="85" customFormat="false" ht="15" hidden="false" customHeight="false" outlineLevel="0" collapsed="false">
      <c r="A85" s="32"/>
      <c r="B85" s="16"/>
      <c r="C85" s="16"/>
      <c r="D85" s="16"/>
      <c r="E85" s="16"/>
      <c r="F85" s="14"/>
      <c r="G85" s="16"/>
    </row>
    <row r="86" customFormat="false" ht="15" hidden="false" customHeight="false" outlineLevel="0" collapsed="false">
      <c r="A86" s="32"/>
      <c r="B86" s="16"/>
      <c r="C86" s="16"/>
      <c r="D86" s="16"/>
      <c r="E86" s="16"/>
      <c r="F86" s="14"/>
      <c r="G86" s="16"/>
    </row>
    <row r="87" customFormat="false" ht="15" hidden="false" customHeight="false" outlineLevel="0" collapsed="false">
      <c r="A87" s="32"/>
      <c r="B87" s="16"/>
      <c r="C87" s="16"/>
      <c r="D87" s="16"/>
      <c r="E87" s="16"/>
      <c r="F87" s="14"/>
      <c r="G87" s="16"/>
    </row>
    <row r="88" customFormat="false" ht="15" hidden="false" customHeight="false" outlineLevel="0" collapsed="false">
      <c r="A88" s="32"/>
      <c r="B88" s="16"/>
      <c r="C88" s="16"/>
      <c r="D88" s="16"/>
      <c r="E88" s="16"/>
      <c r="F88" s="14"/>
      <c r="G88" s="16"/>
    </row>
    <row r="89" customFormat="false" ht="15" hidden="false" customHeight="false" outlineLevel="0" collapsed="false">
      <c r="A89" s="32"/>
      <c r="B89" s="16"/>
      <c r="C89" s="16"/>
      <c r="D89" s="16"/>
      <c r="E89" s="16"/>
      <c r="F89" s="14"/>
      <c r="G89" s="16"/>
    </row>
    <row r="90" customFormat="false" ht="15" hidden="false" customHeight="false" outlineLevel="0" collapsed="false">
      <c r="A90" s="32"/>
      <c r="B90" s="16"/>
      <c r="C90" s="16"/>
      <c r="D90" s="16"/>
      <c r="E90" s="16"/>
      <c r="F90" s="14"/>
      <c r="G90" s="16"/>
    </row>
    <row r="91" customFormat="false" ht="15" hidden="false" customHeight="false" outlineLevel="0" collapsed="false">
      <c r="A91" s="32"/>
      <c r="B91" s="16"/>
      <c r="C91" s="16"/>
      <c r="D91" s="16"/>
      <c r="E91" s="16"/>
      <c r="F91" s="14"/>
      <c r="G91" s="16"/>
    </row>
    <row r="92" customFormat="false" ht="15" hidden="false" customHeight="false" outlineLevel="0" collapsed="false">
      <c r="A92" s="32"/>
      <c r="B92" s="16"/>
      <c r="C92" s="16"/>
      <c r="D92" s="16"/>
      <c r="E92" s="16"/>
      <c r="F92" s="14"/>
      <c r="G92" s="16"/>
    </row>
    <row r="93" customFormat="false" ht="15" hidden="false" customHeight="false" outlineLevel="0" collapsed="false">
      <c r="A93" s="32"/>
      <c r="B93" s="16"/>
      <c r="C93" s="16"/>
      <c r="D93" s="16"/>
      <c r="E93" s="16"/>
      <c r="F93" s="14"/>
      <c r="G93" s="16"/>
    </row>
    <row r="94" customFormat="false" ht="15" hidden="false" customHeight="false" outlineLevel="0" collapsed="false">
      <c r="A94" s="32"/>
      <c r="B94" s="16"/>
      <c r="C94" s="16"/>
      <c r="D94" s="16"/>
      <c r="E94" s="16"/>
      <c r="F94" s="14"/>
      <c r="G94" s="16"/>
    </row>
    <row r="95" customFormat="false" ht="15" hidden="false" customHeight="false" outlineLevel="0" collapsed="false">
      <c r="A95" s="32"/>
      <c r="B95" s="16"/>
      <c r="C95" s="16"/>
      <c r="D95" s="16"/>
      <c r="E95" s="16"/>
      <c r="F95" s="14"/>
      <c r="G95" s="16"/>
    </row>
    <row r="96" customFormat="false" ht="15" hidden="false" customHeight="false" outlineLevel="0" collapsed="false">
      <c r="A96" s="32"/>
      <c r="B96" s="16"/>
      <c r="C96" s="16"/>
      <c r="D96" s="16"/>
      <c r="E96" s="16"/>
      <c r="F96" s="14"/>
      <c r="G96" s="16"/>
    </row>
    <row r="97" customFormat="false" ht="15" hidden="false" customHeight="false" outlineLevel="0" collapsed="false">
      <c r="A97" s="32"/>
      <c r="B97" s="16"/>
      <c r="C97" s="16"/>
      <c r="D97" s="16"/>
      <c r="E97" s="16"/>
      <c r="F97" s="14"/>
      <c r="G97" s="16"/>
    </row>
    <row r="98" customFormat="false" ht="15" hidden="false" customHeight="false" outlineLevel="0" collapsed="false">
      <c r="A98" s="32"/>
      <c r="B98" s="16"/>
      <c r="C98" s="16"/>
      <c r="D98" s="16"/>
      <c r="E98" s="16"/>
      <c r="F98" s="14"/>
      <c r="G98" s="16"/>
    </row>
    <row r="99" customFormat="false" ht="15" hidden="false" customHeight="false" outlineLevel="0" collapsed="false">
      <c r="A99" s="32"/>
      <c r="B99" s="16"/>
      <c r="C99" s="16"/>
      <c r="D99" s="16"/>
      <c r="E99" s="16"/>
      <c r="F99" s="14"/>
      <c r="G99" s="16"/>
    </row>
    <row r="100" customFormat="false" ht="15" hidden="false" customHeight="false" outlineLevel="0" collapsed="false">
      <c r="A100" s="32"/>
      <c r="B100" s="16"/>
      <c r="C100" s="16"/>
      <c r="D100" s="16"/>
      <c r="E100" s="16"/>
      <c r="F100" s="14"/>
      <c r="G100" s="16"/>
    </row>
    <row r="101" customFormat="false" ht="15" hidden="false" customHeight="false" outlineLevel="0" collapsed="false">
      <c r="A101" s="32"/>
      <c r="B101" s="16"/>
      <c r="C101" s="16"/>
      <c r="D101" s="16"/>
      <c r="E101" s="16"/>
      <c r="F101" s="14"/>
      <c r="G101" s="16"/>
    </row>
    <row r="102" customFormat="false" ht="15" hidden="false" customHeight="false" outlineLevel="0" collapsed="false">
      <c r="A102" s="32"/>
      <c r="B102" s="16"/>
      <c r="C102" s="16"/>
      <c r="D102" s="16"/>
      <c r="E102" s="16"/>
      <c r="F102" s="14"/>
      <c r="G102" s="16"/>
    </row>
    <row r="103" customFormat="false" ht="15" hidden="false" customHeight="false" outlineLevel="0" collapsed="false">
      <c r="A103" s="32"/>
      <c r="B103" s="16"/>
      <c r="C103" s="16"/>
      <c r="D103" s="16"/>
      <c r="E103" s="16"/>
      <c r="F103" s="14"/>
      <c r="G103" s="16"/>
    </row>
    <row r="104" customFormat="false" ht="15" hidden="false" customHeight="false" outlineLevel="0" collapsed="false">
      <c r="A104" s="32"/>
      <c r="B104" s="16"/>
      <c r="C104" s="16"/>
      <c r="D104" s="16"/>
      <c r="E104" s="16"/>
      <c r="F104" s="14"/>
      <c r="G104" s="16"/>
    </row>
    <row r="105" customFormat="false" ht="15" hidden="false" customHeight="false" outlineLevel="0" collapsed="false">
      <c r="A105" s="32"/>
      <c r="B105" s="16"/>
      <c r="C105" s="16"/>
      <c r="D105" s="16"/>
      <c r="E105" s="16"/>
      <c r="F105" s="14"/>
      <c r="G105" s="16"/>
    </row>
    <row r="106" customFormat="false" ht="15" hidden="false" customHeight="false" outlineLevel="0" collapsed="false">
      <c r="A106" s="32"/>
      <c r="B106" s="16"/>
      <c r="C106" s="16"/>
      <c r="D106" s="16"/>
      <c r="E106" s="16"/>
      <c r="F106" s="14"/>
      <c r="G106" s="16"/>
    </row>
    <row r="107" customFormat="false" ht="15" hidden="false" customHeight="false" outlineLevel="0" collapsed="false">
      <c r="A107" s="32"/>
      <c r="B107" s="16"/>
      <c r="C107" s="16"/>
      <c r="D107" s="16"/>
      <c r="E107" s="16"/>
      <c r="F107" s="14"/>
      <c r="G107" s="16"/>
    </row>
    <row r="108" customFormat="false" ht="15" hidden="false" customHeight="false" outlineLevel="0" collapsed="false">
      <c r="A108" s="32"/>
      <c r="B108" s="16"/>
      <c r="C108" s="16"/>
      <c r="D108" s="16"/>
      <c r="E108" s="16"/>
      <c r="F108" s="14"/>
      <c r="G108" s="16"/>
    </row>
    <row r="109" customFormat="false" ht="15" hidden="false" customHeight="false" outlineLevel="0" collapsed="false">
      <c r="A109" s="32"/>
      <c r="B109" s="16"/>
      <c r="C109" s="16"/>
      <c r="D109" s="16"/>
      <c r="E109" s="16"/>
      <c r="F109" s="14"/>
      <c r="G109" s="16"/>
    </row>
    <row r="110" customFormat="false" ht="15" hidden="false" customHeight="false" outlineLevel="0" collapsed="false">
      <c r="A110" s="32"/>
      <c r="B110" s="16"/>
      <c r="C110" s="16"/>
      <c r="D110" s="16"/>
      <c r="E110" s="16"/>
      <c r="F110" s="14"/>
      <c r="G110" s="16"/>
    </row>
    <row r="111" customFormat="false" ht="15" hidden="false" customHeight="false" outlineLevel="0" collapsed="false">
      <c r="A111" s="32"/>
      <c r="B111" s="16"/>
      <c r="C111" s="16"/>
      <c r="D111" s="16"/>
      <c r="E111" s="16"/>
      <c r="F111" s="14"/>
      <c r="G111" s="16"/>
    </row>
    <row r="112" customFormat="false" ht="15" hidden="false" customHeight="false" outlineLevel="0" collapsed="false">
      <c r="A112" s="32"/>
      <c r="B112" s="16"/>
      <c r="C112" s="16"/>
      <c r="D112" s="16"/>
      <c r="E112" s="16"/>
      <c r="F112" s="14"/>
      <c r="G112" s="16"/>
    </row>
    <row r="113" customFormat="false" ht="15" hidden="false" customHeight="false" outlineLevel="0" collapsed="false">
      <c r="A113" s="32"/>
      <c r="B113" s="16"/>
      <c r="C113" s="16"/>
      <c r="D113" s="16"/>
      <c r="E113" s="16"/>
      <c r="F113" s="14"/>
      <c r="G113" s="16"/>
    </row>
    <row r="114" customFormat="false" ht="15" hidden="false" customHeight="false" outlineLevel="0" collapsed="false">
      <c r="A114" s="32"/>
      <c r="B114" s="16"/>
      <c r="C114" s="16"/>
      <c r="D114" s="16"/>
      <c r="E114" s="16"/>
      <c r="F114" s="14"/>
      <c r="G114" s="16"/>
    </row>
    <row r="115" customFormat="false" ht="15" hidden="false" customHeight="false" outlineLevel="0" collapsed="false">
      <c r="A115" s="32"/>
      <c r="B115" s="16"/>
      <c r="C115" s="16"/>
      <c r="D115" s="16"/>
      <c r="E115" s="16"/>
      <c r="F115" s="14"/>
      <c r="G115" s="16"/>
    </row>
    <row r="116" customFormat="false" ht="15" hidden="false" customHeight="false" outlineLevel="0" collapsed="false">
      <c r="A116" s="32"/>
      <c r="B116" s="16"/>
      <c r="C116" s="16"/>
      <c r="D116" s="16"/>
      <c r="E116" s="16"/>
      <c r="F116" s="14"/>
      <c r="G116" s="16"/>
    </row>
    <row r="117" customFormat="false" ht="15" hidden="false" customHeight="false" outlineLevel="0" collapsed="false">
      <c r="A117" s="32"/>
      <c r="B117" s="16"/>
      <c r="C117" s="16"/>
      <c r="D117" s="16"/>
      <c r="E117" s="16"/>
      <c r="F117" s="14"/>
      <c r="G117" s="16"/>
    </row>
    <row r="118" customFormat="false" ht="15" hidden="false" customHeight="false" outlineLevel="0" collapsed="false">
      <c r="A118" s="32"/>
      <c r="B118" s="16"/>
      <c r="C118" s="16"/>
      <c r="D118" s="16"/>
      <c r="E118" s="16"/>
      <c r="F118" s="14"/>
      <c r="G118" s="16"/>
    </row>
    <row r="119" customFormat="false" ht="15" hidden="false" customHeight="false" outlineLevel="0" collapsed="false">
      <c r="A119" s="32"/>
      <c r="B119" s="16"/>
      <c r="C119" s="16"/>
      <c r="D119" s="16"/>
      <c r="E119" s="16"/>
      <c r="F119" s="14"/>
      <c r="G119" s="16"/>
    </row>
    <row r="120" customFormat="false" ht="15" hidden="false" customHeight="false" outlineLevel="0" collapsed="false">
      <c r="A120" s="32"/>
      <c r="B120" s="16"/>
      <c r="C120" s="16"/>
      <c r="D120" s="16"/>
      <c r="E120" s="16"/>
      <c r="F120" s="14"/>
      <c r="G120" s="16"/>
    </row>
    <row r="121" customFormat="false" ht="15" hidden="false" customHeight="false" outlineLevel="0" collapsed="false">
      <c r="A121" s="32"/>
      <c r="B121" s="16"/>
      <c r="C121" s="16"/>
      <c r="D121" s="16"/>
      <c r="E121" s="16"/>
      <c r="F121" s="14"/>
      <c r="G121" s="16"/>
    </row>
    <row r="122" customFormat="false" ht="15" hidden="false" customHeight="false" outlineLevel="0" collapsed="false">
      <c r="A122" s="32"/>
      <c r="B122" s="16"/>
      <c r="C122" s="16"/>
      <c r="D122" s="16"/>
      <c r="E122" s="16"/>
      <c r="F122" s="14"/>
      <c r="G122" s="16"/>
    </row>
    <row r="123" customFormat="false" ht="15" hidden="false" customHeight="false" outlineLevel="0" collapsed="false">
      <c r="A123" s="32"/>
      <c r="B123" s="16"/>
      <c r="C123" s="16"/>
      <c r="D123" s="16"/>
      <c r="E123" s="16"/>
      <c r="F123" s="14"/>
      <c r="G123" s="16"/>
    </row>
    <row r="124" customFormat="false" ht="15" hidden="false" customHeight="false" outlineLevel="0" collapsed="false">
      <c r="A124" s="32"/>
      <c r="B124" s="16"/>
      <c r="C124" s="16"/>
      <c r="D124" s="16"/>
      <c r="E124" s="16"/>
      <c r="F124" s="14"/>
      <c r="G124" s="16"/>
    </row>
    <row r="125" customFormat="false" ht="15" hidden="false" customHeight="false" outlineLevel="0" collapsed="false">
      <c r="A125" s="32"/>
      <c r="B125" s="16"/>
      <c r="C125" s="16"/>
      <c r="D125" s="16"/>
      <c r="E125" s="16"/>
      <c r="F125" s="14"/>
      <c r="G125" s="16"/>
    </row>
    <row r="126" customFormat="false" ht="15" hidden="false" customHeight="false" outlineLevel="0" collapsed="false">
      <c r="A126" s="32"/>
      <c r="B126" s="16"/>
      <c r="C126" s="16"/>
      <c r="D126" s="16"/>
      <c r="E126" s="16"/>
      <c r="F126" s="14"/>
      <c r="G126" s="16"/>
    </row>
    <row r="127" customFormat="false" ht="15" hidden="false" customHeight="false" outlineLevel="0" collapsed="false">
      <c r="A127" s="32"/>
      <c r="B127" s="16"/>
      <c r="C127" s="16"/>
      <c r="D127" s="16"/>
      <c r="E127" s="16"/>
      <c r="F127" s="14"/>
      <c r="G127" s="16"/>
    </row>
    <row r="128" customFormat="false" ht="15" hidden="false" customHeight="false" outlineLevel="0" collapsed="false">
      <c r="A128" s="32"/>
      <c r="B128" s="16"/>
      <c r="C128" s="16"/>
      <c r="D128" s="16"/>
      <c r="E128" s="16"/>
      <c r="F128" s="14"/>
      <c r="G128" s="16"/>
    </row>
    <row r="129" customFormat="false" ht="15" hidden="false" customHeight="false" outlineLevel="0" collapsed="false">
      <c r="A129" s="32"/>
      <c r="B129" s="16"/>
      <c r="C129" s="16"/>
      <c r="D129" s="16"/>
      <c r="E129" s="16"/>
      <c r="F129" s="14"/>
      <c r="G129" s="16"/>
    </row>
    <row r="130" customFormat="false" ht="15" hidden="false" customHeight="false" outlineLevel="0" collapsed="false">
      <c r="A130" s="32"/>
      <c r="B130" s="16"/>
      <c r="C130" s="16"/>
      <c r="D130" s="16"/>
      <c r="E130" s="16"/>
      <c r="F130" s="14"/>
      <c r="G130" s="16"/>
    </row>
    <row r="131" customFormat="false" ht="15" hidden="false" customHeight="false" outlineLevel="0" collapsed="false">
      <c r="A131" s="32"/>
      <c r="B131" s="16"/>
      <c r="C131" s="16"/>
      <c r="D131" s="16"/>
      <c r="E131" s="16"/>
      <c r="F131" s="14"/>
      <c r="G131" s="16"/>
    </row>
    <row r="132" customFormat="false" ht="15" hidden="false" customHeight="false" outlineLevel="0" collapsed="false">
      <c r="A132" s="32"/>
      <c r="B132" s="16"/>
      <c r="C132" s="16"/>
      <c r="D132" s="16"/>
      <c r="E132" s="16"/>
      <c r="F132" s="14"/>
      <c r="G132" s="16"/>
    </row>
    <row r="133" customFormat="false" ht="15" hidden="false" customHeight="false" outlineLevel="0" collapsed="false">
      <c r="A133" s="32"/>
      <c r="B133" s="16"/>
      <c r="C133" s="16"/>
      <c r="D133" s="16"/>
      <c r="E133" s="16"/>
      <c r="F133" s="14"/>
      <c r="G133" s="16"/>
    </row>
    <row r="134" customFormat="false" ht="15" hidden="false" customHeight="false" outlineLevel="0" collapsed="false">
      <c r="A134" s="32"/>
      <c r="B134" s="16"/>
      <c r="C134" s="16"/>
      <c r="D134" s="16"/>
      <c r="E134" s="16"/>
      <c r="F134" s="14"/>
      <c r="G134" s="16"/>
    </row>
    <row r="135" customFormat="false" ht="15" hidden="false" customHeight="false" outlineLevel="0" collapsed="false">
      <c r="A135" s="32"/>
      <c r="B135" s="16"/>
      <c r="C135" s="16"/>
      <c r="D135" s="16"/>
      <c r="E135" s="16"/>
      <c r="F135" s="14"/>
      <c r="G135" s="16"/>
    </row>
    <row r="136" customFormat="false" ht="15" hidden="false" customHeight="false" outlineLevel="0" collapsed="false">
      <c r="A136" s="32"/>
      <c r="B136" s="16"/>
      <c r="C136" s="16"/>
      <c r="D136" s="16"/>
      <c r="E136" s="16"/>
      <c r="F136" s="14"/>
      <c r="G136" s="16"/>
    </row>
    <row r="137" customFormat="false" ht="15" hidden="false" customHeight="false" outlineLevel="0" collapsed="false">
      <c r="A137" s="32"/>
      <c r="B137" s="16"/>
      <c r="C137" s="16"/>
      <c r="D137" s="16"/>
      <c r="E137" s="16"/>
      <c r="F137" s="14"/>
      <c r="G137" s="16"/>
    </row>
    <row r="138" customFormat="false" ht="15" hidden="false" customHeight="false" outlineLevel="0" collapsed="false">
      <c r="A138" s="32"/>
      <c r="B138" s="16"/>
      <c r="C138" s="16"/>
      <c r="D138" s="16"/>
      <c r="E138" s="16"/>
      <c r="F138" s="14"/>
      <c r="G138" s="16"/>
    </row>
    <row r="139" customFormat="false" ht="15" hidden="false" customHeight="false" outlineLevel="0" collapsed="false">
      <c r="A139" s="32"/>
      <c r="B139" s="16"/>
      <c r="C139" s="16"/>
      <c r="D139" s="16"/>
      <c r="E139" s="16"/>
      <c r="F139" s="14"/>
      <c r="G139" s="16"/>
    </row>
    <row r="140" customFormat="false" ht="15" hidden="false" customHeight="false" outlineLevel="0" collapsed="false">
      <c r="A140" s="32"/>
      <c r="B140" s="16"/>
      <c r="C140" s="16"/>
      <c r="D140" s="16"/>
      <c r="E140" s="16"/>
      <c r="F140" s="14"/>
      <c r="G140" s="16"/>
    </row>
    <row r="141" customFormat="false" ht="15" hidden="false" customHeight="false" outlineLevel="0" collapsed="false">
      <c r="A141" s="32"/>
      <c r="B141" s="16"/>
      <c r="C141" s="16"/>
      <c r="D141" s="16"/>
      <c r="E141" s="16"/>
      <c r="F141" s="14"/>
      <c r="G141" s="16"/>
    </row>
    <row r="142" customFormat="false" ht="15" hidden="false" customHeight="false" outlineLevel="0" collapsed="false">
      <c r="A142" s="32"/>
      <c r="B142" s="16"/>
      <c r="C142" s="16"/>
      <c r="D142" s="16"/>
      <c r="E142" s="16"/>
      <c r="F142" s="14"/>
      <c r="G142" s="16"/>
    </row>
    <row r="143" customFormat="false" ht="15" hidden="false" customHeight="false" outlineLevel="0" collapsed="false">
      <c r="A143" s="32"/>
      <c r="B143" s="16"/>
      <c r="C143" s="16"/>
      <c r="D143" s="16"/>
      <c r="E143" s="16"/>
      <c r="F143" s="14"/>
      <c r="G143" s="16"/>
    </row>
    <row r="144" customFormat="false" ht="15" hidden="false" customHeight="false" outlineLevel="0" collapsed="false">
      <c r="A144" s="32"/>
      <c r="B144" s="16"/>
      <c r="C144" s="16"/>
      <c r="D144" s="16"/>
      <c r="E144" s="16"/>
      <c r="F144" s="14"/>
      <c r="G144" s="16"/>
    </row>
    <row r="145" customFormat="false" ht="15" hidden="false" customHeight="false" outlineLevel="0" collapsed="false">
      <c r="A145" s="32"/>
      <c r="B145" s="16"/>
      <c r="C145" s="16"/>
      <c r="D145" s="16"/>
      <c r="E145" s="16"/>
      <c r="F145" s="14"/>
      <c r="G145" s="16"/>
    </row>
    <row r="146" customFormat="false" ht="15" hidden="false" customHeight="false" outlineLevel="0" collapsed="false">
      <c r="A146" s="32"/>
      <c r="B146" s="16"/>
      <c r="C146" s="16"/>
      <c r="D146" s="16"/>
      <c r="E146" s="16"/>
      <c r="F146" s="14"/>
      <c r="G146" s="16"/>
    </row>
    <row r="147" customFormat="false" ht="15" hidden="false" customHeight="false" outlineLevel="0" collapsed="false">
      <c r="A147" s="32"/>
      <c r="B147" s="16"/>
      <c r="C147" s="16"/>
      <c r="D147" s="16"/>
      <c r="E147" s="16"/>
      <c r="F147" s="14"/>
      <c r="G147" s="16"/>
    </row>
    <row r="148" customFormat="false" ht="15" hidden="false" customHeight="false" outlineLevel="0" collapsed="false">
      <c r="A148" s="32"/>
      <c r="B148" s="16"/>
      <c r="C148" s="16"/>
      <c r="D148" s="16"/>
      <c r="E148" s="16"/>
      <c r="F148" s="14"/>
      <c r="G148" s="16"/>
    </row>
    <row r="149" customFormat="false" ht="15" hidden="false" customHeight="false" outlineLevel="0" collapsed="false">
      <c r="A149" s="32"/>
      <c r="B149" s="16"/>
      <c r="C149" s="16"/>
      <c r="D149" s="16"/>
      <c r="E149" s="16"/>
      <c r="F149" s="14"/>
      <c r="G149" s="16"/>
    </row>
    <row r="150" customFormat="false" ht="15" hidden="false" customHeight="false" outlineLevel="0" collapsed="false">
      <c r="A150" s="32"/>
      <c r="B150" s="16"/>
      <c r="C150" s="16"/>
      <c r="D150" s="16"/>
      <c r="E150" s="16"/>
      <c r="F150" s="14"/>
      <c r="G150" s="16"/>
    </row>
    <row r="151" customFormat="false" ht="15" hidden="false" customHeight="false" outlineLevel="0" collapsed="false">
      <c r="A151" s="32"/>
      <c r="B151" s="16"/>
      <c r="C151" s="16"/>
      <c r="D151" s="16"/>
      <c r="E151" s="16"/>
      <c r="F151" s="14"/>
      <c r="G151" s="16"/>
    </row>
    <row r="152" customFormat="false" ht="15" hidden="false" customHeight="false" outlineLevel="0" collapsed="false">
      <c r="A152" s="32"/>
      <c r="B152" s="16"/>
      <c r="C152" s="16"/>
      <c r="D152" s="16"/>
      <c r="E152" s="16"/>
      <c r="F152" s="14"/>
      <c r="G152" s="16"/>
    </row>
    <row r="153" customFormat="false" ht="15" hidden="false" customHeight="false" outlineLevel="0" collapsed="false">
      <c r="A153" s="32"/>
      <c r="B153" s="16"/>
      <c r="C153" s="16"/>
      <c r="D153" s="16"/>
      <c r="E153" s="16"/>
      <c r="F153" s="14"/>
      <c r="G153" s="16"/>
    </row>
    <row r="154" customFormat="false" ht="15" hidden="false" customHeight="false" outlineLevel="0" collapsed="false">
      <c r="A154" s="32"/>
      <c r="B154" s="16"/>
      <c r="C154" s="16"/>
      <c r="D154" s="16"/>
      <c r="E154" s="16"/>
      <c r="F154" s="14"/>
      <c r="G154" s="16"/>
    </row>
  </sheetData>
  <conditionalFormatting sqref="E5:E154">
    <cfRule type="expression" priority="2" aboveAverage="0" equalAverage="0" bottom="0" percent="0" rank="0" text="" dxfId="0">
      <formula>$E5="Posted"</formula>
    </cfRule>
    <cfRule type="expression" priority="3" aboveAverage="0" equalAverage="0" bottom="0" percent="0" rank="0" text="" dxfId="1">
      <formula>$E5="Scheduled"</formula>
    </cfRule>
    <cfRule type="expression" priority="4" aboveAverage="0" equalAverage="0" bottom="0" percent="0" rank="0" text="" dxfId="2">
      <formula>$E5="Drafted"</formula>
    </cfRule>
    <cfRule type="expression" priority="5" aboveAverage="0" equalAverage="0" bottom="0" percent="0" rank="0" text="" dxfId="3">
      <formula>$E5="Skipped"</formula>
    </cfRule>
  </conditionalFormatting>
  <dataValidations count="4">
    <dataValidation allowBlank="true" errorStyle="stop" operator="between" showDropDown="false" showErrorMessage="false" showInputMessage="false" sqref="B5:B154" type="list">
      <formula1>"Facebook,Instagram,X,LinkedIn,YouTube,All"</formula1>
      <formula2>0</formula2>
    </dataValidation>
    <dataValidation allowBlank="true" errorStyle="stop" operator="between" showDropDown="false" showErrorMessage="false" showInputMessage="false" sqref="C5:C154" type="list">
      <formula1>"Coaches/tutors,Salons/studios,Event hosts,Photographers,Agencies,General"</formula1>
      <formula2>0</formula2>
    </dataValidation>
    <dataValidation allowBlank="true" errorStyle="stop" operator="between" showDropDown="false" showErrorMessage="false" showInputMessage="false" sqref="D5:D154" type="list">
      <formula1>"Reel / short video,Carousel,Single image,Text post,Thread,Poll,Long video"</formula1>
      <formula2>0</formula2>
    </dataValidation>
    <dataValidation allowBlank="true" errorStyle="stop" operator="between" showDropDown="false" showErrorMessage="false" showInputMessage="false" sqref="E5:E154" type="list">
      <formula1>"Idea,Drafted,Scheduled,Posted,Skipped"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24"/>
  </cols>
  <sheetData>
    <row r="1" customFormat="false" ht="17.3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7" t="s">
        <v>130</v>
      </c>
    </row>
    <row r="3" customFormat="false" ht="31.5" hidden="false" customHeight="true" outlineLevel="0" collapsed="false">
      <c r="A3" s="8" t="s">
        <v>131</v>
      </c>
      <c r="B3" s="8" t="s">
        <v>132</v>
      </c>
      <c r="C3" s="8" t="s">
        <v>133</v>
      </c>
      <c r="D3" s="8" t="s">
        <v>134</v>
      </c>
      <c r="E3" s="8" t="s">
        <v>135</v>
      </c>
      <c r="F3" s="8" t="s">
        <v>136</v>
      </c>
      <c r="G3" s="8" t="s">
        <v>137</v>
      </c>
      <c r="H3" s="8" t="s">
        <v>138</v>
      </c>
      <c r="I3" s="8" t="s">
        <v>139</v>
      </c>
    </row>
    <row r="4" customFormat="false" ht="21.75" hidden="false" customHeight="true" outlineLevel="0" collapsed="false">
      <c r="A4" s="34" t="s">
        <v>38</v>
      </c>
      <c r="B4" s="35"/>
      <c r="C4" s="35"/>
      <c r="D4" s="35"/>
      <c r="E4" s="35"/>
      <c r="F4" s="35"/>
      <c r="G4" s="35"/>
      <c r="H4" s="35"/>
      <c r="I4" s="35"/>
    </row>
    <row r="5" customFormat="false" ht="60" hidden="false" customHeight="true" outlineLevel="0" collapsed="false">
      <c r="A5" s="34" t="s">
        <v>140</v>
      </c>
      <c r="B5" s="36"/>
      <c r="C5" s="36"/>
      <c r="D5" s="36"/>
      <c r="E5" s="36"/>
      <c r="F5" s="36"/>
      <c r="G5" s="36"/>
      <c r="H5" s="36"/>
      <c r="I5" s="36"/>
    </row>
    <row r="6" customFormat="false" ht="60" hidden="false" customHeight="true" outlineLevel="0" collapsed="false">
      <c r="A6" s="34" t="s">
        <v>141</v>
      </c>
      <c r="B6" s="36"/>
      <c r="C6" s="36"/>
      <c r="D6" s="36"/>
      <c r="E6" s="36"/>
      <c r="F6" s="36"/>
      <c r="G6" s="36"/>
      <c r="H6" s="36"/>
      <c r="I6" s="36"/>
    </row>
    <row r="7" customFormat="false" ht="60" hidden="false" customHeight="true" outlineLevel="0" collapsed="false">
      <c r="A7" s="34" t="s">
        <v>142</v>
      </c>
      <c r="B7" s="36"/>
      <c r="C7" s="36"/>
      <c r="D7" s="36"/>
      <c r="E7" s="36"/>
      <c r="F7" s="36"/>
      <c r="G7" s="36"/>
      <c r="H7" s="36"/>
      <c r="I7" s="36"/>
    </row>
    <row r="8" customFormat="false" ht="60" hidden="false" customHeight="true" outlineLevel="0" collapsed="false">
      <c r="A8" s="34" t="s">
        <v>143</v>
      </c>
      <c r="B8" s="36"/>
      <c r="C8" s="36"/>
      <c r="D8" s="36"/>
      <c r="E8" s="36"/>
      <c r="F8" s="36"/>
      <c r="G8" s="36"/>
      <c r="H8" s="36"/>
      <c r="I8" s="36"/>
    </row>
    <row r="9" customFormat="false" ht="60" hidden="false" customHeight="true" outlineLevel="0" collapsed="false">
      <c r="A9" s="34" t="s">
        <v>144</v>
      </c>
      <c r="B9" s="36"/>
      <c r="C9" s="36"/>
      <c r="D9" s="36"/>
      <c r="E9" s="36"/>
      <c r="F9" s="36"/>
      <c r="G9" s="36"/>
      <c r="H9" s="36"/>
      <c r="I9" s="36"/>
    </row>
    <row r="10" customFormat="false" ht="60" hidden="false" customHeight="true" outlineLevel="0" collapsed="false">
      <c r="A10" s="34" t="s">
        <v>145</v>
      </c>
      <c r="B10" s="36"/>
      <c r="C10" s="36"/>
      <c r="D10" s="36"/>
      <c r="E10" s="36"/>
      <c r="F10" s="36"/>
      <c r="G10" s="36"/>
      <c r="H10" s="36"/>
      <c r="I10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pane xSplit="0" ySplit="3" topLeftCell="A4" activePane="bottomLeft" state="frozen"/>
    </sheetView>
  </sheetViews>
  <sheetFormatPr defaultRowHeight="15"/>
  <cols>
    <col min="1" max="1" width="20" customWidth="true"/>
    <col min="2" max="2" width="44" customWidth="true"/>
    <col min="3" max="3" width="14" customWidth="true"/>
    <col min="4" max="4" width="28" customWidth="true"/>
    <col min="5" max="5" width="22" customWidth="true"/>
    <col min="6" max="6" width="12" customWidth="true"/>
    <col min="7" max="7" width="12" customWidth="true"/>
    <col min="8" max="8" width="10" customWidth="true"/>
    <col min="9" max="9" width="11" customWidth="true"/>
    <col min="10" max="10" width="13" customWidth="true"/>
    <col min="11" max="11" width="16" customWidth="true"/>
    <col min="12" max="12" width="34" customWidth="true"/>
    <col min="13" max="13" width="11" customWidth="true"/>
    <col min="14" max="14" width="15" customWidth="true"/>
  </cols>
  <sheetData>
    <row r="1">
      <c r="A1" s="1" t="inlineStr">
        <is>
          <t xml:space="preserve">Offer Codes: placeholder offers, replace with your final values</t>
        </is>
      </c>
    </row>
    <row r="2">
      <c r="A2" s="7" t="inlineStr">
        <is>
          <t xml:space="preserve">One row per code. Type in Max uses, Redeemed, Paid conversions and Still paying. "Remaining" and "Redemption rate" calculate themselves. Every offer here is a placeholder.</t>
        </is>
      </c>
    </row>
    <row r="3" ht="31.5" customHeight="true">
      <c r="A3" s="8" t="inlineStr">
        <is>
          <t xml:space="preserve">Code</t>
        </is>
      </c>
      <c r="B3" s="8" t="inlineStr">
        <is>
          <t xml:space="preserve">Offer</t>
        </is>
      </c>
      <c r="C3" s="8" t="inlineStr">
        <is>
          <t xml:space="preserve">Plan</t>
        </is>
      </c>
      <c r="D3" s="8" t="inlineStr">
        <is>
          <t xml:space="preserve">Audience</t>
        </is>
      </c>
      <c r="E3" s="8" t="inlineStr">
        <is>
          <t xml:space="preserve">Channel or source tag</t>
        </is>
      </c>
      <c r="F3" s="8" t="inlineStr">
        <is>
          <t xml:space="preserve">Starts</t>
        </is>
      </c>
      <c r="G3" s="8" t="inlineStr">
        <is>
          <t xml:space="preserve">Ends</t>
        </is>
      </c>
      <c r="H3" s="8" t="inlineStr">
        <is>
          <t xml:space="preserve">Max uses</t>
        </is>
      </c>
      <c r="I3" s="8" t="inlineStr">
        <is>
          <t xml:space="preserve">Redeemed</t>
        </is>
      </c>
      <c r="J3" s="8" t="inlineStr">
        <is>
          <t xml:space="preserve">Paid conversions</t>
        </is>
      </c>
      <c r="K3" s="8" t="inlineStr">
        <is>
          <t xml:space="preserve">Still paying after discount</t>
        </is>
      </c>
      <c r="L3" s="8" t="inlineStr">
        <is>
          <t xml:space="preserve">Status and notes</t>
        </is>
      </c>
      <c r="M3" s="8" t="inlineStr">
        <is>
          <t xml:space="preserve">Remaining</t>
        </is>
      </c>
      <c r="N3" s="8" t="inlineStr">
        <is>
          <t xml:space="preserve">Redemption rate</t>
        </is>
      </c>
    </row>
    <row r="4">
      <c r="A4" s="32" t="inlineStr">
        <is>
          <t xml:space="preserve">BIZ-AT-PRO</t>
        </is>
      </c>
      <c r="B4" s="16" t="inlineStr">
        <is>
          <t xml:space="preserve">Business at the Pro price: $9/mo instead of $25/mo for the first [3] months, then $25/mo</t>
        </is>
      </c>
      <c r="C4" s="16" t="inlineStr">
        <is>
          <t xml:space="preserve">Business</t>
        </is>
      </c>
      <c r="D4" s="16" t="inlineStr">
        <is>
          <t xml:space="preserve">First-time paid members</t>
        </is>
      </c>
      <c r="E4" s="16" t="inlineStr">
        <is>
          <t xml:space="preserve">Homepage, ads, welcome email</t>
        </is>
      </c>
      <c r="F4" s="14"/>
      <c r="G4" s="14"/>
      <c r="H4" s="14"/>
      <c r="I4" s="14"/>
      <c r="J4" s="14"/>
      <c r="K4" s="14"/>
      <c r="L4" s="16" t="inlineStr">
        <is>
          <t xml:space="preserve">Planned. Set real values first.</t>
        </is>
      </c>
      <c r="M4" s="16">
        <f>IF(H4="","",H4-I4)</f>
      </c>
      <c r="N4" s="16">
        <f>IF(AND(H4&lt;&gt;"",H4&gt;0,I4&lt;&gt;""),I4/H4,"")</f>
      </c>
    </row>
    <row r="5">
      <c r="A5" s="32" t="inlineStr">
        <is>
          <t xml:space="preserve">FIRSTBUILD</t>
        </is>
      </c>
      <c r="B5" s="16" t="inlineStr">
        <is>
          <t xml:space="preserve">[20]% off the first [3] months of any paid plan</t>
        </is>
      </c>
      <c r="C5" s="16" t="inlineStr">
        <is>
          <t xml:space="preserve">Any paid</t>
        </is>
      </c>
      <c r="D5" s="16" t="inlineStr">
        <is>
          <t xml:space="preserve">First-time paid members</t>
        </is>
      </c>
      <c r="E5" s="16" t="inlineStr">
        <is>
          <t xml:space="preserve">Upgrade email, in-app</t>
        </is>
      </c>
      <c r="F5" s="14"/>
      <c r="G5" s="14"/>
      <c r="H5" s="14"/>
      <c r="I5" s="14"/>
      <c r="J5" s="14"/>
      <c r="K5" s="14"/>
      <c r="L5" s="16" t="inlineStr">
        <is>
          <t xml:space="preserve">Planned. Set real values first.</t>
        </is>
      </c>
      <c r="M5" s="16">
        <f>IF(H5="","",H5-I5)</f>
      </c>
      <c r="N5" s="16">
        <f>IF(AND(H5&lt;&gt;"",H5&gt;0,I5&lt;&gt;""),I5/H5,"")</f>
      </c>
    </row>
    <row r="6">
      <c r="A6" s="32" t="inlineStr">
        <is>
          <t xml:space="preserve">YEAR2FREE</t>
        </is>
      </c>
      <c r="B6" s="16" t="inlineStr">
        <is>
          <t xml:space="preserve">Pay yearly and get [2] months free (about [17]% off)</t>
        </is>
      </c>
      <c r="C6" s="16" t="inlineStr">
        <is>
          <t xml:space="preserve">Any, annual</t>
        </is>
      </c>
      <c r="D6" s="16" t="inlineStr">
        <is>
          <t xml:space="preserve">Anyone choosing annual billing</t>
        </is>
      </c>
      <c r="E6" s="16" t="inlineStr">
        <is>
          <t xml:space="preserve">Pricing page and posts</t>
        </is>
      </c>
      <c r="F6" s="14"/>
      <c r="G6" s="14"/>
      <c r="H6" s="14"/>
      <c r="I6" s="14"/>
      <c r="J6" s="14"/>
      <c r="K6" s="14"/>
      <c r="L6" s="16" t="inlineStr">
        <is>
          <t xml:space="preserve">Planned. Set real values first.</t>
        </is>
      </c>
      <c r="M6" s="16">
        <f>IF(H6="","",H6-I6)</f>
      </c>
      <c r="N6" s="16">
        <f>IF(AND(H6&lt;&gt;"",H6&gt;0,I6&lt;&gt;""),I6/H6,"")</f>
      </c>
    </row>
    <row r="7">
      <c r="A7" s="32" t="inlineStr">
        <is>
          <t xml:space="preserve">HUNT30</t>
        </is>
      </c>
      <c r="B7" s="16" t="inlineStr">
        <is>
          <t xml:space="preserve">[30]% off the first [3] months of any paid plan, valid [7] days from launch</t>
        </is>
      </c>
      <c r="C7" s="16" t="inlineStr">
        <is>
          <t xml:space="preserve">Any paid</t>
        </is>
      </c>
      <c r="D7" s="16" t="inlineStr">
        <is>
          <t xml:space="preserve">Product Hunt visitors only (launch day November 13)</t>
        </is>
      </c>
      <c r="E7" s="16" t="inlineStr">
        <is>
          <t xml:space="preserve">Product Hunt</t>
        </is>
      </c>
      <c r="F7" s="14"/>
      <c r="G7" s="14"/>
      <c r="H7" s="14"/>
      <c r="I7" s="14"/>
      <c r="J7" s="14"/>
      <c r="K7" s="14"/>
      <c r="L7" s="16" t="inlineStr">
        <is>
          <t xml:space="preserve">Planned. Set real values first.</t>
        </is>
      </c>
      <c r="M7" s="16">
        <f>IF(H7="","",H7-I7)</f>
      </c>
      <c r="N7" s="16">
        <f>IF(AND(H7&lt;&gt;"",H7&gt;0,I7&lt;&gt;""),I7/H7,"")</f>
      </c>
    </row>
    <row r="8">
      <c r="A8" s="32" t="inlineStr">
        <is>
          <t xml:space="preserve">FOUNDING50</t>
        </is>
      </c>
      <c r="B8" s="16" t="inlineStr">
        <is>
          <t xml:space="preserve">[50]% off for the first [12] months, limited to the first [100] members</t>
        </is>
      </c>
      <c r="C8" s="16" t="inlineStr">
        <is>
          <t xml:space="preserve">Any paid</t>
        </is>
      </c>
      <c r="D8" s="16" t="inlineStr">
        <is>
          <t xml:space="preserve">Early adopters</t>
        </is>
      </c>
      <c r="E8" s="16" t="inlineStr">
        <is>
          <t xml:space="preserve">Founder post, communities</t>
        </is>
      </c>
      <c r="F8" s="14"/>
      <c r="G8" s="14"/>
      <c r="H8" s="14"/>
      <c r="I8" s="14"/>
      <c r="J8" s="14"/>
      <c r="K8" s="14"/>
      <c r="L8" s="16" t="inlineStr">
        <is>
          <t xml:space="preserve">Planned. Set real values first.</t>
        </is>
      </c>
      <c r="M8" s="16">
        <f>IF(H8="","",H8-I8)</f>
      </c>
      <c r="N8" s="16">
        <f>IF(AND(H8&lt;&gt;"",H8&gt;0,I8&lt;&gt;""),I8/H8,"")</f>
      </c>
    </row>
    <row r="9">
      <c r="A9" s="32" t="inlineStr">
        <is>
          <t xml:space="preserve">STEPUP</t>
        </is>
      </c>
      <c r="B9" s="16" t="inlineStr">
        <is>
          <t xml:space="preserve">A Pro member who moves to Business pays the Pro price for [1] month</t>
        </is>
      </c>
      <c r="C9" s="16" t="inlineStr">
        <is>
          <t xml:space="preserve">Pro to Business</t>
        </is>
      </c>
      <c r="D9" s="16" t="inlineStr">
        <is>
          <t xml:space="preserve">Current Pro members</t>
        </is>
      </c>
      <c r="E9" s="16" t="inlineStr">
        <is>
          <t xml:space="preserve">In-app, email</t>
        </is>
      </c>
      <c r="F9" s="14"/>
      <c r="G9" s="14"/>
      <c r="H9" s="14"/>
      <c r="I9" s="14"/>
      <c r="J9" s="14"/>
      <c r="K9" s="14"/>
      <c r="L9" s="16" t="inlineStr">
        <is>
          <t xml:space="preserve">Planned. Set real values first.</t>
        </is>
      </c>
      <c r="M9" s="16">
        <f>IF(H9="","",H9-I9)</f>
      </c>
      <c r="N9" s="16">
        <f>IF(AND(H9&lt;&gt;"",H9&gt;0,I9&lt;&gt;""),I9/H9,"")</f>
      </c>
    </row>
    <row r="10">
      <c r="A10" s="32" t="inlineStr">
        <is>
          <t xml:space="preserve">FRIEND-1MO</t>
        </is>
      </c>
      <c r="B10" s="16" t="inlineStr">
        <is>
          <t xml:space="preserve">Referrer and friend each get [1] month of credit (or [X]GB extra storage)</t>
        </is>
      </c>
      <c r="C10" s="16" t="inlineStr">
        <is>
          <t xml:space="preserve">Any paid</t>
        </is>
      </c>
      <c r="D10" s="16" t="inlineStr">
        <is>
          <t xml:space="preserve">Referral email, or after a good support conversation</t>
        </is>
      </c>
      <c r="E10" s="16" t="inlineStr">
        <is>
          <t xml:space="preserve">Referral email</t>
        </is>
      </c>
      <c r="F10" s="14"/>
      <c r="G10" s="14"/>
      <c r="H10" s="14"/>
      <c r="I10" s="14"/>
      <c r="J10" s="14"/>
      <c r="K10" s="14"/>
      <c r="L10" s="16" t="inlineStr">
        <is>
          <t xml:space="preserve">Planned. Set real values first.</t>
        </is>
      </c>
      <c r="M10" s="16">
        <f>IF(H10="","",H10-I10)</f>
      </c>
      <c r="N10" s="16">
        <f>IF(AND(H10&lt;&gt;"",H10&gt;0,I10&lt;&gt;""),I10/H10,"")</f>
      </c>
    </row>
    <row r="11">
      <c r="A11" s="32" t="inlineStr">
        <is>
          <t xml:space="preserve">COMEBACK</t>
        </is>
      </c>
      <c r="B11" s="16" t="inlineStr">
        <is>
          <t xml:space="preserve">[25]% off [2] months</t>
        </is>
      </c>
      <c r="C11" s="16" t="inlineStr">
        <is>
          <t xml:space="preserve">Any paid</t>
        </is>
      </c>
      <c r="D11" s="16" t="inlineStr">
        <is>
          <t xml:space="preserve">Members who cancelled a paid plan [30] or more days ago</t>
        </is>
      </c>
      <c r="E11" s="16" t="inlineStr">
        <is>
          <t xml:space="preserve">Win-back email</t>
        </is>
      </c>
      <c r="F11" s="14"/>
      <c r="G11" s="14"/>
      <c r="H11" s="14"/>
      <c r="I11" s="14"/>
      <c r="J11" s="14"/>
      <c r="K11" s="14"/>
      <c r="L11" s="16" t="inlineStr">
        <is>
          <t xml:space="preserve">Planned. Set real values first.</t>
        </is>
      </c>
      <c r="M11" s="16">
        <f>IF(H11="","",H11-I11)</f>
      </c>
      <c r="N11" s="16">
        <f>IF(AND(H11&lt;&gt;"",H11&gt;0,I11&lt;&gt;""),I11/H11,"")</f>
      </c>
    </row>
    <row r="12">
      <c r="A12" s="32" t="inlineStr">
        <is>
          <t xml:space="preserve">CHALLENGE-PRO</t>
        </is>
      </c>
      <c r="B12" s="16" t="inlineStr">
        <is>
          <t xml:space="preserve">[1] month of Pro</t>
        </is>
      </c>
      <c r="C12" s="16" t="inlineStr">
        <is>
          <t xml:space="preserve">Pro</t>
        </is>
      </c>
      <c r="D12" s="16" t="inlineStr">
        <is>
          <t xml:space="preserve">#BuildItWithAFS winners</t>
        </is>
      </c>
      <c r="E12" s="16" t="inlineStr">
        <is>
          <t xml:space="preserve">Challenge posts</t>
        </is>
      </c>
      <c r="F12" s="14"/>
      <c r="G12" s="14"/>
      <c r="H12" s="14"/>
      <c r="I12" s="14"/>
      <c r="J12" s="14"/>
      <c r="K12" s="14"/>
      <c r="L12" s="16" t="inlineStr">
        <is>
          <t xml:space="preserve">Planned. Set real values first.</t>
        </is>
      </c>
      <c r="M12" s="16">
        <f>IF(H12="","",H12-I12)</f>
      </c>
      <c r="N12" s="16">
        <f>IF(AND(H12&lt;&gt;"",H12&gt;0,I12&lt;&gt;""),I12/H12,"")</f>
      </c>
    </row>
    <row r="13">
      <c r="A13" s="32" t="inlineStr">
        <is>
          <t xml:space="preserve">NOLOCKIN</t>
        </is>
      </c>
      <c r="B13" s="16" t="inlineStr">
        <is>
          <t xml:space="preserve">[15]% off the first [3] months of Business</t>
        </is>
      </c>
      <c r="C13" s="16" t="inlineStr">
        <is>
          <t xml:space="preserve">Business</t>
        </is>
      </c>
      <c r="D13" s="16" t="inlineStr">
        <is>
          <t xml:space="preserve">People leaving a one-processor tool</t>
        </is>
      </c>
      <c r="E13" s="16" t="inlineStr">
        <is>
          <t xml:space="preserve">Payment-flexibility posts</t>
        </is>
      </c>
      <c r="F13" s="14"/>
      <c r="G13" s="14"/>
      <c r="H13" s="14"/>
      <c r="I13" s="14"/>
      <c r="J13" s="14"/>
      <c r="K13" s="14"/>
      <c r="L13" s="16" t="inlineStr">
        <is>
          <t xml:space="preserve">Planned. Set real values first.</t>
        </is>
      </c>
      <c r="M13" s="16">
        <f>IF(H13="","",H13-I13)</f>
      </c>
      <c r="N13" s="16">
        <f>IF(AND(H13&lt;&gt;"",H13&gt;0,I13&lt;&gt;""),I13/H13,"")</f>
      </c>
    </row>
    <row r="14">
      <c r="A14" s="32" t="inlineStr">
        <is>
          <t xml:space="preserve">LINKUP</t>
        </is>
      </c>
      <c r="B14" s="16" t="inlineStr">
        <is>
          <t xml:space="preserve">[20]% off the first [3] months of your first paid plan</t>
        </is>
      </c>
      <c r="C14" s="16" t="inlineStr">
        <is>
          <t xml:space="preserve">Any paid</t>
        </is>
      </c>
      <c r="D14" s="16" t="inlineStr">
        <is>
          <t xml:space="preserve">Free members who open the AFS Connect upgrade notice or want a second project</t>
        </is>
      </c>
      <c r="E14" s="16" t="inlineStr">
        <is>
          <t xml:space="preserve">In-app AFS Connect notice</t>
        </is>
      </c>
      <c r="F14" s="14"/>
      <c r="G14" s="14"/>
      <c r="H14" s="14"/>
      <c r="I14" s="14"/>
      <c r="J14" s="14"/>
      <c r="K14" s="14"/>
      <c r="L14" s="16" t="inlineStr">
        <is>
          <t xml:space="preserve">Planned. Set real values first.</t>
        </is>
      </c>
      <c r="M14" s="16">
        <f>IF(H14="","",H14-I14)</f>
      </c>
      <c r="N14" s="16">
        <f>IF(AND(H14&lt;&gt;"",H14&gt;0,I14&lt;&gt;""),I14/H14,"")</f>
      </c>
    </row>
    <row r="15">
      <c r="A15" s="32" t="inlineStr">
        <is>
          <t xml:space="preserve">COACH20</t>
        </is>
      </c>
      <c r="B15" s="16" t="inlineStr">
        <is>
          <t xml:space="preserve">[20]% off the first [3] months of Pro or Business (AGENCY25: [25]% off Business for [6] months)</t>
        </is>
      </c>
      <c r="C15" s="16" t="inlineStr">
        <is>
          <t xml:space="preserve">Pro or Business</t>
        </is>
      </c>
      <c r="D15" s="16" t="inlineStr">
        <is>
          <t xml:space="preserve">Niche: Coach</t>
        </is>
      </c>
      <c r="E15" s="16" t="inlineStr">
        <is>
          <t xml:space="preserve">Niche campaign</t>
        </is>
      </c>
      <c r="F15" s="14"/>
      <c r="G15" s="14"/>
      <c r="H15" s="14"/>
      <c r="I15" s="14"/>
      <c r="J15" s="14"/>
      <c r="K15" s="14"/>
      <c r="L15" s="16" t="inlineStr">
        <is>
          <t xml:space="preserve">Planned. Set real values first.</t>
        </is>
      </c>
      <c r="M15" s="16">
        <f>IF(H15="","",H15-I15)</f>
      </c>
      <c r="N15" s="16">
        <f>IF(AND(H15&lt;&gt;"",H15&gt;0,I15&lt;&gt;""),I15/H15,"")</f>
      </c>
    </row>
    <row r="16">
      <c r="A16" s="32" t="inlineStr">
        <is>
          <t xml:space="preserve">SALON20</t>
        </is>
      </c>
      <c r="B16" s="16" t="inlineStr">
        <is>
          <t xml:space="preserve">[20]% off the first [3] months of Pro or Business (AGENCY25: [25]% off Business for [6] months)</t>
        </is>
      </c>
      <c r="C16" s="16" t="inlineStr">
        <is>
          <t xml:space="preserve">Pro or Business</t>
        </is>
      </c>
      <c r="D16" s="16" t="inlineStr">
        <is>
          <t xml:space="preserve">Niche: Salon</t>
        </is>
      </c>
      <c r="E16" s="16" t="inlineStr">
        <is>
          <t xml:space="preserve">Niche campaign</t>
        </is>
      </c>
      <c r="F16" s="14"/>
      <c r="G16" s="14"/>
      <c r="H16" s="14"/>
      <c r="I16" s="14"/>
      <c r="J16" s="14"/>
      <c r="K16" s="14"/>
      <c r="L16" s="16" t="inlineStr">
        <is>
          <t xml:space="preserve">Planned. Set real values first.</t>
        </is>
      </c>
      <c r="M16" s="16">
        <f>IF(H16="","",H16-I16)</f>
      </c>
      <c r="N16" s="16">
        <f>IF(AND(H16&lt;&gt;"",H16&gt;0,I16&lt;&gt;""),I16/H16,"")</f>
      </c>
    </row>
    <row r="17">
      <c r="A17" s="32" t="inlineStr">
        <is>
          <t xml:space="preserve">EVENT20</t>
        </is>
      </c>
      <c r="B17" s="16" t="inlineStr">
        <is>
          <t xml:space="preserve">[20]% off the first [3] months of Pro or Business (AGENCY25: [25]% off Business for [6] months)</t>
        </is>
      </c>
      <c r="C17" s="16" t="inlineStr">
        <is>
          <t xml:space="preserve">Pro or Business</t>
        </is>
      </c>
      <c r="D17" s="16" t="inlineStr">
        <is>
          <t xml:space="preserve">Niche: Event</t>
        </is>
      </c>
      <c r="E17" s="16" t="inlineStr">
        <is>
          <t xml:space="preserve">Niche campaign</t>
        </is>
      </c>
      <c r="F17" s="14"/>
      <c r="G17" s="14"/>
      <c r="H17" s="14"/>
      <c r="I17" s="14"/>
      <c r="J17" s="14"/>
      <c r="K17" s="14"/>
      <c r="L17" s="16" t="inlineStr">
        <is>
          <t xml:space="preserve">Planned. Set real values first.</t>
        </is>
      </c>
      <c r="M17" s="16">
        <f>IF(H17="","",H17-I17)</f>
      </c>
      <c r="N17" s="16">
        <f>IF(AND(H17&lt;&gt;"",H17&gt;0,I17&lt;&gt;""),I17/H17,"")</f>
      </c>
    </row>
    <row r="18">
      <c r="A18" s="32" t="inlineStr">
        <is>
          <t xml:space="preserve">AGENCY25</t>
        </is>
      </c>
      <c r="B18" s="16" t="inlineStr">
        <is>
          <t xml:space="preserve">[20]% off the first [3] months of Pro or Business (AGENCY25: [25]% off Business for [6] months)</t>
        </is>
      </c>
      <c r="C18" s="16" t="inlineStr">
        <is>
          <t xml:space="preserve">Pro or Business</t>
        </is>
      </c>
      <c r="D18" s="16" t="inlineStr">
        <is>
          <t xml:space="preserve">Niche: Agency</t>
        </is>
      </c>
      <c r="E18" s="16" t="inlineStr">
        <is>
          <t xml:space="preserve">Niche campaign</t>
        </is>
      </c>
      <c r="F18" s="14"/>
      <c r="G18" s="14"/>
      <c r="H18" s="14"/>
      <c r="I18" s="14"/>
      <c r="J18" s="14"/>
      <c r="K18" s="14"/>
      <c r="L18" s="16" t="inlineStr">
        <is>
          <t xml:space="preserve">Planned. Set real values first.</t>
        </is>
      </c>
      <c r="M18" s="16">
        <f>IF(H18="","",H18-I18)</f>
      </c>
      <c r="N18" s="16">
        <f>IF(AND(H18&lt;&gt;"",H18&gt;0,I18&lt;&gt;""),I18/H18,"")</f>
      </c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2026-10-16T15:52:29Z</dcterms:created>
  <dc:creator>openpyxl</dc:creator>
  <dc:description/>
  <dc:language>en-US</dc:language>
  <cp:lastModifiedBy/>
  <dcterms:modified xsi:type="dcterms:W3CDTF">2026-10-16T15:52:34Z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